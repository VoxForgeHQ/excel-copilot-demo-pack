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B21A597C-4EC3-4DB3-BD82-41864C56CD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_Pipelin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Q11" i="2" a="1"/>
  <c r="Q11" i="2"/>
  <c r="Q22" i="2" a="1"/>
  <c r="Q22" i="2"/>
  <c r="Q33" i="2" a="1"/>
  <c r="Q33" i="2"/>
  <c r="Q46" i="2" a="1"/>
  <c r="Q46" i="2"/>
  <c r="Q47" i="2" a="1"/>
  <c r="Q47" i="2"/>
  <c r="Q55" i="2" a="1"/>
  <c r="Q55" i="2"/>
  <c r="Q67" i="2" a="1"/>
  <c r="Q67" i="2"/>
  <c r="Q68" i="2" a="1"/>
  <c r="Q68" i="2"/>
  <c r="Q79" i="2" a="1"/>
  <c r="Q79" i="2"/>
  <c r="Q93" i="2" a="1"/>
  <c r="Q93" i="2"/>
  <c r="Q97" i="2" a="1"/>
  <c r="Q97" i="2"/>
  <c r="Q103" i="2" a="1"/>
  <c r="Q103" i="2"/>
  <c r="Q106" i="2" a="1"/>
  <c r="Q106" i="2"/>
  <c r="Q108" i="2" a="1"/>
  <c r="Q108" i="2"/>
  <c r="Q119" i="2" a="1"/>
  <c r="Q119" i="2"/>
  <c r="Q163" i="2" a="1"/>
  <c r="Q163" i="2"/>
  <c r="Q168" i="2" a="1"/>
  <c r="Q168" i="2"/>
  <c r="Q169" i="2" a="1"/>
  <c r="Q169" i="2"/>
  <c r="Q176" i="2" a="1"/>
  <c r="Q176" i="2"/>
  <c r="P2" i="2" a="1"/>
  <c r="P2" i="2"/>
  <c r="P3" i="2" a="1"/>
  <c r="P3" i="2"/>
  <c r="P4" i="2" a="1"/>
  <c r="P4" i="2"/>
  <c r="P5" i="2" a="1"/>
  <c r="P5" i="2"/>
  <c r="P6" i="2" a="1"/>
  <c r="P6" i="2"/>
  <c r="P7" i="2" a="1"/>
  <c r="P7" i="2"/>
  <c r="P8" i="2" a="1"/>
  <c r="P8" i="2"/>
  <c r="P9" i="2" a="1"/>
  <c r="P9" i="2"/>
  <c r="P10" i="2" a="1"/>
  <c r="P10" i="2"/>
  <c r="P11" i="2" a="1"/>
  <c r="P11" i="2"/>
  <c r="P12" i="2" a="1"/>
  <c r="P12" i="2"/>
  <c r="P13" i="2" a="1"/>
  <c r="P13" i="2"/>
  <c r="P14" i="2" a="1"/>
  <c r="P14" i="2"/>
  <c r="P15" i="2" a="1"/>
  <c r="P15" i="2"/>
  <c r="P16" i="2" a="1"/>
  <c r="P16" i="2"/>
  <c r="P17" i="2" a="1"/>
  <c r="P17" i="2"/>
  <c r="P18" i="2" a="1"/>
  <c r="P18" i="2"/>
  <c r="P19" i="2" a="1"/>
  <c r="P19" i="2"/>
  <c r="P20" i="2" a="1"/>
  <c r="P20" i="2"/>
  <c r="P21" i="2" a="1"/>
  <c r="P21" i="2"/>
  <c r="P22" i="2" a="1"/>
  <c r="P22" i="2"/>
  <c r="P23" i="2" a="1"/>
  <c r="P23" i="2"/>
  <c r="P24" i="2" a="1"/>
  <c r="P24" i="2"/>
  <c r="P25" i="2" a="1"/>
  <c r="P25" i="2"/>
  <c r="P26" i="2" a="1"/>
  <c r="P26" i="2"/>
  <c r="P27" i="2" a="1"/>
  <c r="P27" i="2"/>
  <c r="P28" i="2" a="1"/>
  <c r="P28" i="2"/>
  <c r="P29" i="2" a="1"/>
  <c r="P29" i="2"/>
  <c r="P30" i="2" a="1"/>
  <c r="P30" i="2"/>
  <c r="P31" i="2" a="1"/>
  <c r="P31" i="2"/>
  <c r="P32" i="2" a="1"/>
  <c r="P32" i="2"/>
  <c r="P33" i="2" a="1"/>
  <c r="P33" i="2"/>
  <c r="P34" i="2" a="1"/>
  <c r="P34" i="2"/>
  <c r="P35" i="2" a="1"/>
  <c r="P35" i="2"/>
  <c r="P36" i="2" a="1"/>
  <c r="P36" i="2"/>
  <c r="P37" i="2" a="1"/>
  <c r="P37" i="2"/>
  <c r="P38" i="2" a="1"/>
  <c r="P38" i="2"/>
  <c r="P39" i="2" a="1"/>
  <c r="P39" i="2"/>
  <c r="P40" i="2" a="1"/>
  <c r="P40" i="2"/>
  <c r="P41" i="2" a="1"/>
  <c r="P41" i="2"/>
  <c r="P42" i="2" a="1"/>
  <c r="P42" i="2"/>
  <c r="P43" i="2" a="1"/>
  <c r="P43" i="2"/>
  <c r="P44" i="2" a="1"/>
  <c r="P44" i="2"/>
  <c r="P45" i="2" a="1"/>
  <c r="P45" i="2"/>
  <c r="P46" i="2" a="1"/>
  <c r="P46" i="2"/>
  <c r="P47" i="2" a="1"/>
  <c r="P47" i="2"/>
  <c r="P48" i="2" a="1"/>
  <c r="P48" i="2"/>
  <c r="P49" i="2" a="1"/>
  <c r="P49" i="2"/>
  <c r="P50" i="2" a="1"/>
  <c r="P50" i="2"/>
  <c r="P51" i="2" a="1"/>
  <c r="P51" i="2"/>
  <c r="P52" i="2" a="1"/>
  <c r="P52" i="2"/>
  <c r="P53" i="2" a="1"/>
  <c r="P53" i="2"/>
  <c r="P54" i="2" a="1"/>
  <c r="P54" i="2"/>
  <c r="P55" i="2" a="1"/>
  <c r="P55" i="2"/>
  <c r="P56" i="2" a="1"/>
  <c r="P56" i="2"/>
  <c r="P57" i="2" a="1"/>
  <c r="P57" i="2"/>
  <c r="P58" i="2" a="1"/>
  <c r="P58" i="2"/>
  <c r="P59" i="2" a="1"/>
  <c r="P59" i="2"/>
  <c r="P60" i="2" a="1"/>
  <c r="P60" i="2"/>
  <c r="P61" i="2" a="1"/>
  <c r="P61" i="2"/>
  <c r="P62" i="2" a="1"/>
  <c r="P62" i="2"/>
  <c r="P63" i="2" a="1"/>
  <c r="P63" i="2"/>
  <c r="P64" i="2" a="1"/>
  <c r="P64" i="2"/>
  <c r="P65" i="2" a="1"/>
  <c r="P65" i="2"/>
  <c r="P66" i="2" a="1"/>
  <c r="P66" i="2"/>
  <c r="P67" i="2" a="1"/>
  <c r="P67" i="2"/>
  <c r="P68" i="2" a="1"/>
  <c r="P68" i="2"/>
  <c r="P69" i="2" a="1"/>
  <c r="P69" i="2"/>
  <c r="P70" i="2" a="1"/>
  <c r="P70" i="2"/>
  <c r="P71" i="2" a="1"/>
  <c r="P71" i="2"/>
  <c r="P72" i="2" a="1"/>
  <c r="P72" i="2"/>
  <c r="P73" i="2" a="1"/>
  <c r="P73" i="2"/>
  <c r="P74" i="2" a="1"/>
  <c r="P74" i="2"/>
  <c r="P75" i="2" a="1"/>
  <c r="P75" i="2"/>
  <c r="P76" i="2" a="1"/>
  <c r="P76" i="2"/>
  <c r="P77" i="2" a="1"/>
  <c r="P77" i="2"/>
  <c r="P78" i="2" a="1"/>
  <c r="P78" i="2"/>
  <c r="P79" i="2" a="1"/>
  <c r="P79" i="2"/>
  <c r="P80" i="2" a="1"/>
  <c r="P80" i="2"/>
  <c r="P81" i="2" a="1"/>
  <c r="P81" i="2"/>
  <c r="P82" i="2" a="1"/>
  <c r="P82" i="2"/>
  <c r="P83" i="2" a="1"/>
  <c r="P83" i="2"/>
  <c r="P84" i="2" a="1"/>
  <c r="P84" i="2"/>
  <c r="P85" i="2" a="1"/>
  <c r="P85" i="2"/>
  <c r="P86" i="2" a="1"/>
  <c r="P86" i="2"/>
  <c r="P87" i="2" a="1"/>
  <c r="P87" i="2"/>
  <c r="P88" i="2" a="1"/>
  <c r="P88" i="2"/>
  <c r="P89" i="2" a="1"/>
  <c r="P89" i="2"/>
  <c r="P90" i="2" a="1"/>
  <c r="P90" i="2"/>
  <c r="P91" i="2" a="1"/>
  <c r="P91" i="2"/>
  <c r="P92" i="2" a="1"/>
  <c r="P92" i="2"/>
  <c r="P93" i="2" a="1"/>
  <c r="P93" i="2"/>
  <c r="P94" i="2" a="1"/>
  <c r="P94" i="2"/>
  <c r="P95" i="2" a="1"/>
  <c r="P95" i="2"/>
  <c r="P96" i="2" a="1"/>
  <c r="P96" i="2"/>
  <c r="P97" i="2" a="1"/>
  <c r="P97" i="2"/>
  <c r="P98" i="2" a="1"/>
  <c r="P98" i="2"/>
  <c r="P99" i="2" a="1"/>
  <c r="P99" i="2"/>
  <c r="P100" i="2" a="1"/>
  <c r="P100" i="2"/>
  <c r="P101" i="2" a="1"/>
  <c r="P101" i="2"/>
  <c r="P102" i="2" a="1"/>
  <c r="P102" i="2"/>
  <c r="P103" i="2" a="1"/>
  <c r="P103" i="2"/>
  <c r="P104" i="2" a="1"/>
  <c r="P104" i="2"/>
  <c r="P105" i="2" a="1"/>
  <c r="P105" i="2"/>
  <c r="P106" i="2" a="1"/>
  <c r="P106" i="2"/>
  <c r="P107" i="2" a="1"/>
  <c r="P107" i="2"/>
  <c r="P108" i="2" a="1"/>
  <c r="P108" i="2"/>
  <c r="P109" i="2" a="1"/>
  <c r="P109" i="2"/>
  <c r="P110" i="2" a="1"/>
  <c r="P110" i="2"/>
  <c r="P111" i="2" a="1"/>
  <c r="P111" i="2"/>
  <c r="P112" i="2" a="1"/>
  <c r="P112" i="2"/>
  <c r="P113" i="2" a="1"/>
  <c r="P113" i="2"/>
  <c r="P114" i="2" a="1"/>
  <c r="P114" i="2"/>
  <c r="P115" i="2" a="1"/>
  <c r="P115" i="2"/>
  <c r="P116" i="2" a="1"/>
  <c r="P116" i="2"/>
  <c r="P117" i="2" a="1"/>
  <c r="P117" i="2"/>
  <c r="P118" i="2" a="1"/>
  <c r="P118" i="2"/>
  <c r="P119" i="2" a="1"/>
  <c r="P119" i="2"/>
  <c r="P120" i="2" a="1"/>
  <c r="P120" i="2"/>
  <c r="P121" i="2" a="1"/>
  <c r="P121" i="2"/>
  <c r="P122" i="2" a="1"/>
  <c r="P122" i="2"/>
  <c r="P123" i="2" a="1"/>
  <c r="P123" i="2"/>
  <c r="P124" i="2" a="1"/>
  <c r="P124" i="2"/>
  <c r="P125" i="2" a="1"/>
  <c r="P125" i="2"/>
  <c r="P126" i="2" a="1"/>
  <c r="P126" i="2"/>
  <c r="P127" i="2" a="1"/>
  <c r="P127" i="2"/>
  <c r="P128" i="2" a="1"/>
  <c r="P128" i="2"/>
  <c r="P129" i="2" a="1"/>
  <c r="P129" i="2"/>
  <c r="P130" i="2" a="1"/>
  <c r="P130" i="2"/>
  <c r="P131" i="2" a="1"/>
  <c r="P131" i="2"/>
  <c r="P132" i="2" a="1"/>
  <c r="P132" i="2"/>
  <c r="P133" i="2" a="1"/>
  <c r="P133" i="2"/>
  <c r="P134" i="2" a="1"/>
  <c r="P134" i="2"/>
  <c r="P135" i="2" a="1"/>
  <c r="P135" i="2"/>
  <c r="P136" i="2" a="1"/>
  <c r="P136" i="2"/>
  <c r="P137" i="2" a="1"/>
  <c r="P137" i="2"/>
  <c r="P138" i="2" a="1"/>
  <c r="P138" i="2"/>
  <c r="P139" i="2" a="1"/>
  <c r="P139" i="2"/>
  <c r="P140" i="2" a="1"/>
  <c r="P140" i="2"/>
  <c r="P141" i="2" a="1"/>
  <c r="P141" i="2"/>
  <c r="P142" i="2" a="1"/>
  <c r="P142" i="2"/>
  <c r="P143" i="2" a="1"/>
  <c r="P143" i="2"/>
  <c r="P144" i="2" a="1"/>
  <c r="P144" i="2"/>
  <c r="P145" i="2" a="1"/>
  <c r="P145" i="2"/>
  <c r="P146" i="2" a="1"/>
  <c r="P146" i="2"/>
  <c r="P147" i="2" a="1"/>
  <c r="P147" i="2"/>
  <c r="P148" i="2" a="1"/>
  <c r="P148" i="2"/>
  <c r="P149" i="2" a="1"/>
  <c r="P149" i="2"/>
  <c r="P150" i="2" a="1"/>
  <c r="P150" i="2"/>
  <c r="P151" i="2" a="1"/>
  <c r="P151" i="2"/>
  <c r="P152" i="2" a="1"/>
  <c r="P152" i="2"/>
  <c r="P153" i="2" a="1"/>
  <c r="P153" i="2"/>
  <c r="P154" i="2" a="1"/>
  <c r="P154" i="2"/>
  <c r="P155" i="2" a="1"/>
  <c r="P155" i="2"/>
  <c r="P156" i="2" a="1"/>
  <c r="P156" i="2"/>
  <c r="P157" i="2" a="1"/>
  <c r="P157" i="2"/>
  <c r="P158" i="2" a="1"/>
  <c r="P158" i="2"/>
  <c r="P159" i="2" a="1"/>
  <c r="P159" i="2"/>
  <c r="P160" i="2" a="1"/>
  <c r="P160" i="2"/>
  <c r="P161" i="2" a="1"/>
  <c r="P161" i="2"/>
  <c r="P162" i="2" a="1"/>
  <c r="P162" i="2"/>
  <c r="P163" i="2" a="1"/>
  <c r="P163" i="2"/>
  <c r="P164" i="2" a="1"/>
  <c r="P164" i="2"/>
  <c r="P165" i="2" a="1"/>
  <c r="P165" i="2"/>
  <c r="P166" i="2" a="1"/>
  <c r="P166" i="2"/>
  <c r="P167" i="2" a="1"/>
  <c r="P167" i="2"/>
  <c r="P168" i="2" a="1"/>
  <c r="P168" i="2"/>
  <c r="P169" i="2" a="1"/>
  <c r="P169" i="2"/>
  <c r="P170" i="2" a="1"/>
  <c r="P170" i="2"/>
  <c r="P171" i="2" a="1"/>
  <c r="P171" i="2"/>
  <c r="P172" i="2" a="1"/>
  <c r="P172" i="2"/>
  <c r="P173" i="2" a="1"/>
  <c r="P173" i="2"/>
  <c r="P174" i="2" a="1"/>
  <c r="P174" i="2"/>
  <c r="P175" i="2" a="1"/>
  <c r="P175" i="2"/>
  <c r="P176" i="2" a="1"/>
  <c r="P176" i="2"/>
  <c r="P177" i="2" a="1"/>
  <c r="P177" i="2"/>
  <c r="P178" i="2" a="1"/>
  <c r="P178" i="2"/>
  <c r="P179" i="2" a="1"/>
  <c r="P179" i="2"/>
  <c r="P180" i="2" a="1"/>
  <c r="P180" i="2"/>
  <c r="P181" i="2" a="1"/>
  <c r="P181" i="2"/>
  <c r="O2" i="2"/>
  <c r="Q2" i="2" s="1" a="1"/>
  <c r="Q2" i="2" s="1"/>
  <c r="O3" i="2"/>
  <c r="Q3" i="2" s="1" a="1"/>
  <c r="Q3" i="2" s="1"/>
  <c r="O4" i="2"/>
  <c r="Q4" i="2" s="1" a="1"/>
  <c r="Q4" i="2" s="1"/>
  <c r="O5" i="2"/>
  <c r="Q5" i="2" s="1" a="1"/>
  <c r="Q5" i="2" s="1"/>
  <c r="O6" i="2"/>
  <c r="Q6" i="2" s="1" a="1"/>
  <c r="Q6" i="2" s="1"/>
  <c r="O7" i="2"/>
  <c r="Q7" i="2" s="1" a="1"/>
  <c r="Q7" i="2" s="1"/>
  <c r="O8" i="2"/>
  <c r="Q8" i="2" s="1" a="1"/>
  <c r="Q8" i="2" s="1"/>
  <c r="O9" i="2"/>
  <c r="Q9" i="2" s="1" a="1"/>
  <c r="Q9" i="2" s="1"/>
  <c r="O10" i="2"/>
  <c r="Q10" i="2" s="1" a="1"/>
  <c r="Q10" i="2" s="1"/>
  <c r="O11" i="2"/>
  <c r="O12" i="2"/>
  <c r="Q12" i="2" s="1" a="1"/>
  <c r="Q12" i="2" s="1"/>
  <c r="O13" i="2"/>
  <c r="Q13" i="2" s="1" a="1"/>
  <c r="Q13" i="2" s="1"/>
  <c r="O14" i="2"/>
  <c r="Q14" i="2" s="1" a="1"/>
  <c r="Q14" i="2" s="1"/>
  <c r="O15" i="2"/>
  <c r="Q15" i="2" s="1" a="1"/>
  <c r="Q15" i="2" s="1"/>
  <c r="O16" i="2"/>
  <c r="Q16" i="2" s="1" a="1"/>
  <c r="Q16" i="2" s="1"/>
  <c r="O17" i="2"/>
  <c r="Q17" i="2" s="1" a="1"/>
  <c r="Q17" i="2" s="1"/>
  <c r="O18" i="2"/>
  <c r="Q18" i="2" s="1" a="1"/>
  <c r="Q18" i="2" s="1"/>
  <c r="O19" i="2"/>
  <c r="Q19" i="2" s="1" a="1"/>
  <c r="Q19" i="2" s="1"/>
  <c r="O20" i="2"/>
  <c r="Q20" i="2" s="1" a="1"/>
  <c r="Q20" i="2" s="1"/>
  <c r="O21" i="2"/>
  <c r="Q21" i="2" s="1" a="1"/>
  <c r="Q21" i="2" s="1"/>
  <c r="O22" i="2"/>
  <c r="O23" i="2"/>
  <c r="Q23" i="2" s="1" a="1"/>
  <c r="Q23" i="2" s="1"/>
  <c r="O24" i="2"/>
  <c r="Q24" i="2" s="1" a="1"/>
  <c r="Q24" i="2" s="1"/>
  <c r="O25" i="2"/>
  <c r="Q25" i="2" s="1" a="1"/>
  <c r="Q25" i="2" s="1"/>
  <c r="O26" i="2"/>
  <c r="Q26" i="2" s="1" a="1"/>
  <c r="Q26" i="2" s="1"/>
  <c r="O27" i="2"/>
  <c r="Q27" i="2" s="1" a="1"/>
  <c r="Q27" i="2" s="1"/>
  <c r="O28" i="2"/>
  <c r="Q28" i="2" s="1" a="1"/>
  <c r="Q28" i="2" s="1"/>
  <c r="O29" i="2"/>
  <c r="Q29" i="2" s="1" a="1"/>
  <c r="Q29" i="2" s="1"/>
  <c r="O30" i="2"/>
  <c r="Q30" i="2" s="1" a="1"/>
  <c r="Q30" i="2" s="1"/>
  <c r="O31" i="2"/>
  <c r="Q31" i="2" s="1" a="1"/>
  <c r="Q31" i="2" s="1"/>
  <c r="O32" i="2"/>
  <c r="Q32" i="2" s="1" a="1"/>
  <c r="Q32" i="2" s="1"/>
  <c r="O33" i="2"/>
  <c r="O34" i="2"/>
  <c r="Q34" i="2" s="1" a="1"/>
  <c r="Q34" i="2" s="1"/>
  <c r="O35" i="2"/>
  <c r="Q35" i="2" s="1" a="1"/>
  <c r="Q35" i="2" s="1"/>
  <c r="O36" i="2"/>
  <c r="Q36" i="2" s="1" a="1"/>
  <c r="Q36" i="2" s="1"/>
  <c r="O37" i="2"/>
  <c r="Q37" i="2" s="1" a="1"/>
  <c r="Q37" i="2" s="1"/>
  <c r="O38" i="2"/>
  <c r="Q38" i="2" s="1" a="1"/>
  <c r="Q38" i="2" s="1"/>
  <c r="O39" i="2"/>
  <c r="Q39" i="2" s="1" a="1"/>
  <c r="Q39" i="2" s="1"/>
  <c r="O40" i="2"/>
  <c r="Q40" i="2" s="1" a="1"/>
  <c r="Q40" i="2" s="1"/>
  <c r="O41" i="2"/>
  <c r="Q41" i="2" s="1" a="1"/>
  <c r="Q41" i="2" s="1"/>
  <c r="O42" i="2"/>
  <c r="Q42" i="2" s="1" a="1"/>
  <c r="Q42" i="2" s="1"/>
  <c r="O43" i="2"/>
  <c r="Q43" i="2" s="1" a="1"/>
  <c r="Q43" i="2" s="1"/>
  <c r="O44" i="2"/>
  <c r="Q44" i="2" s="1" a="1"/>
  <c r="Q44" i="2" s="1"/>
  <c r="O45" i="2"/>
  <c r="Q45" i="2" s="1" a="1"/>
  <c r="Q45" i="2" s="1"/>
  <c r="O46" i="2"/>
  <c r="O47" i="2"/>
  <c r="O48" i="2"/>
  <c r="Q48" i="2" s="1" a="1"/>
  <c r="Q48" i="2" s="1"/>
  <c r="O49" i="2"/>
  <c r="Q49" i="2" s="1" a="1"/>
  <c r="Q49" i="2" s="1"/>
  <c r="O50" i="2"/>
  <c r="Q50" i="2" s="1" a="1"/>
  <c r="Q50" i="2" s="1"/>
  <c r="O51" i="2"/>
  <c r="Q51" i="2" s="1" a="1"/>
  <c r="Q51" i="2" s="1"/>
  <c r="O52" i="2"/>
  <c r="Q52" i="2" s="1" a="1"/>
  <c r="Q52" i="2" s="1"/>
  <c r="O53" i="2"/>
  <c r="Q53" i="2" s="1" a="1"/>
  <c r="Q53" i="2" s="1"/>
  <c r="O54" i="2"/>
  <c r="Q54" i="2" s="1" a="1"/>
  <c r="Q54" i="2" s="1"/>
  <c r="O55" i="2"/>
  <c r="O56" i="2"/>
  <c r="Q56" i="2" s="1" a="1"/>
  <c r="Q56" i="2" s="1"/>
  <c r="O57" i="2"/>
  <c r="Q57" i="2" s="1" a="1"/>
  <c r="Q57" i="2" s="1"/>
  <c r="O58" i="2"/>
  <c r="Q58" i="2" s="1" a="1"/>
  <c r="Q58" i="2" s="1"/>
  <c r="O59" i="2"/>
  <c r="Q59" i="2" s="1" a="1"/>
  <c r="Q59" i="2" s="1"/>
  <c r="O60" i="2"/>
  <c r="Q60" i="2" s="1" a="1"/>
  <c r="Q60" i="2" s="1"/>
  <c r="O61" i="2"/>
  <c r="Q61" i="2" s="1" a="1"/>
  <c r="Q61" i="2" s="1"/>
  <c r="O62" i="2"/>
  <c r="Q62" i="2" s="1" a="1"/>
  <c r="Q62" i="2" s="1"/>
  <c r="O63" i="2"/>
  <c r="Q63" i="2" s="1" a="1"/>
  <c r="Q63" i="2" s="1"/>
  <c r="O64" i="2"/>
  <c r="Q64" i="2" s="1" a="1"/>
  <c r="Q64" i="2" s="1"/>
  <c r="O65" i="2"/>
  <c r="Q65" i="2" s="1" a="1"/>
  <c r="Q65" i="2" s="1"/>
  <c r="O66" i="2"/>
  <c r="Q66" i="2" s="1" a="1"/>
  <c r="Q66" i="2" s="1"/>
  <c r="O67" i="2"/>
  <c r="O68" i="2"/>
  <c r="O69" i="2"/>
  <c r="Q69" i="2" s="1" a="1"/>
  <c r="Q69" i="2" s="1"/>
  <c r="O70" i="2"/>
  <c r="Q70" i="2" s="1" a="1"/>
  <c r="Q70" i="2" s="1"/>
  <c r="O71" i="2"/>
  <c r="Q71" i="2" s="1" a="1"/>
  <c r="Q71" i="2" s="1"/>
  <c r="O72" i="2"/>
  <c r="Q72" i="2" s="1" a="1"/>
  <c r="Q72" i="2" s="1"/>
  <c r="O73" i="2"/>
  <c r="Q73" i="2" s="1" a="1"/>
  <c r="Q73" i="2" s="1"/>
  <c r="O74" i="2"/>
  <c r="Q74" i="2" s="1" a="1"/>
  <c r="Q74" i="2" s="1"/>
  <c r="O75" i="2"/>
  <c r="Q75" i="2" s="1" a="1"/>
  <c r="Q75" i="2" s="1"/>
  <c r="O76" i="2"/>
  <c r="Q76" i="2" s="1" a="1"/>
  <c r="Q76" i="2" s="1"/>
  <c r="O77" i="2"/>
  <c r="Q77" i="2" s="1" a="1"/>
  <c r="Q77" i="2" s="1"/>
  <c r="O78" i="2"/>
  <c r="Q78" i="2" s="1" a="1"/>
  <c r="Q78" i="2" s="1"/>
  <c r="O79" i="2"/>
  <c r="O80" i="2"/>
  <c r="Q80" i="2" s="1" a="1"/>
  <c r="Q80" i="2" s="1"/>
  <c r="O81" i="2"/>
  <c r="Q81" i="2" s="1" a="1"/>
  <c r="Q81" i="2" s="1"/>
  <c r="O82" i="2"/>
  <c r="Q82" i="2" s="1" a="1"/>
  <c r="Q82" i="2" s="1"/>
  <c r="O83" i="2"/>
  <c r="Q83" i="2" s="1" a="1"/>
  <c r="Q83" i="2" s="1"/>
  <c r="O84" i="2"/>
  <c r="Q84" i="2" s="1" a="1"/>
  <c r="Q84" i="2" s="1"/>
  <c r="O85" i="2"/>
  <c r="Q85" i="2" s="1" a="1"/>
  <c r="Q85" i="2" s="1"/>
  <c r="O86" i="2"/>
  <c r="Q86" i="2" s="1" a="1"/>
  <c r="Q86" i="2" s="1"/>
  <c r="O87" i="2"/>
  <c r="Q87" i="2" s="1" a="1"/>
  <c r="Q87" i="2" s="1"/>
  <c r="O88" i="2"/>
  <c r="Q88" i="2" s="1" a="1"/>
  <c r="Q88" i="2" s="1"/>
  <c r="O89" i="2"/>
  <c r="Q89" i="2" s="1" a="1"/>
  <c r="Q89" i="2" s="1"/>
  <c r="O90" i="2"/>
  <c r="Q90" i="2" s="1" a="1"/>
  <c r="Q90" i="2" s="1"/>
  <c r="O91" i="2"/>
  <c r="Q91" i="2" s="1" a="1"/>
  <c r="Q91" i="2" s="1"/>
  <c r="O92" i="2"/>
  <c r="Q92" i="2" s="1" a="1"/>
  <c r="Q92" i="2" s="1"/>
  <c r="O93" i="2"/>
  <c r="O94" i="2"/>
  <c r="Q94" i="2" s="1" a="1"/>
  <c r="Q94" i="2" s="1"/>
  <c r="O95" i="2"/>
  <c r="Q95" i="2" s="1" a="1"/>
  <c r="Q95" i="2" s="1"/>
  <c r="O96" i="2"/>
  <c r="Q96" i="2" s="1" a="1"/>
  <c r="Q96" i="2" s="1"/>
  <c r="O97" i="2"/>
  <c r="O98" i="2"/>
  <c r="Q98" i="2" s="1" a="1"/>
  <c r="Q98" i="2" s="1"/>
  <c r="O99" i="2"/>
  <c r="Q99" i="2" s="1" a="1"/>
  <c r="Q99" i="2" s="1"/>
  <c r="O100" i="2"/>
  <c r="Q100" i="2" s="1" a="1"/>
  <c r="Q100" i="2" s="1"/>
  <c r="O101" i="2"/>
  <c r="Q101" i="2" s="1" a="1"/>
  <c r="Q101" i="2" s="1"/>
  <c r="O102" i="2"/>
  <c r="Q102" i="2" s="1" a="1"/>
  <c r="Q102" i="2" s="1"/>
  <c r="O103" i="2"/>
  <c r="O104" i="2"/>
  <c r="Q104" i="2" s="1" a="1"/>
  <c r="Q104" i="2" s="1"/>
  <c r="O105" i="2"/>
  <c r="Q105" i="2" s="1" a="1"/>
  <c r="Q105" i="2" s="1"/>
  <c r="O106" i="2"/>
  <c r="O107" i="2"/>
  <c r="Q107" i="2" s="1" a="1"/>
  <c r="Q107" i="2" s="1"/>
  <c r="O108" i="2"/>
  <c r="O109" i="2"/>
  <c r="Q109" i="2" s="1" a="1"/>
  <c r="Q109" i="2" s="1"/>
  <c r="O110" i="2"/>
  <c r="Q110" i="2" s="1" a="1"/>
  <c r="Q110" i="2" s="1"/>
  <c r="O111" i="2"/>
  <c r="Q111" i="2" s="1" a="1"/>
  <c r="Q111" i="2" s="1"/>
  <c r="O112" i="2"/>
  <c r="Q112" i="2" s="1" a="1"/>
  <c r="Q112" i="2" s="1"/>
  <c r="O113" i="2"/>
  <c r="Q113" i="2" s="1" a="1"/>
  <c r="Q113" i="2" s="1"/>
  <c r="O114" i="2"/>
  <c r="Q114" i="2" s="1" a="1"/>
  <c r="Q114" i="2" s="1"/>
  <c r="O115" i="2"/>
  <c r="Q115" i="2" s="1" a="1"/>
  <c r="Q115" i="2" s="1"/>
  <c r="O116" i="2"/>
  <c r="Q116" i="2" s="1" a="1"/>
  <c r="Q116" i="2" s="1"/>
  <c r="O117" i="2"/>
  <c r="Q117" i="2" s="1" a="1"/>
  <c r="Q117" i="2" s="1"/>
  <c r="O118" i="2"/>
  <c r="Q118" i="2" s="1" a="1"/>
  <c r="Q118" i="2" s="1"/>
  <c r="O119" i="2"/>
  <c r="O120" i="2"/>
  <c r="Q120" i="2" s="1" a="1"/>
  <c r="Q120" i="2" s="1"/>
  <c r="O121" i="2"/>
  <c r="Q121" i="2" s="1" a="1"/>
  <c r="Q121" i="2" s="1"/>
  <c r="O122" i="2"/>
  <c r="Q122" i="2" s="1" a="1"/>
  <c r="Q122" i="2" s="1"/>
  <c r="O123" i="2"/>
  <c r="Q123" i="2" s="1" a="1"/>
  <c r="Q123" i="2" s="1"/>
  <c r="O124" i="2"/>
  <c r="Q124" i="2" s="1" a="1"/>
  <c r="Q124" i="2" s="1"/>
  <c r="O125" i="2"/>
  <c r="Q125" i="2" s="1" a="1"/>
  <c r="Q125" i="2" s="1"/>
  <c r="O126" i="2"/>
  <c r="Q126" i="2" s="1" a="1"/>
  <c r="Q126" i="2" s="1"/>
  <c r="O127" i="2"/>
  <c r="Q127" i="2" s="1" a="1"/>
  <c r="Q127" i="2" s="1"/>
  <c r="O128" i="2"/>
  <c r="Q128" i="2" s="1" a="1"/>
  <c r="Q128" i="2" s="1"/>
  <c r="O129" i="2"/>
  <c r="Q129" i="2" s="1" a="1"/>
  <c r="Q129" i="2" s="1"/>
  <c r="O130" i="2"/>
  <c r="Q130" i="2" s="1" a="1"/>
  <c r="Q130" i="2" s="1"/>
  <c r="O131" i="2"/>
  <c r="Q131" i="2" s="1" a="1"/>
  <c r="Q131" i="2" s="1"/>
  <c r="O132" i="2"/>
  <c r="Q132" i="2" s="1" a="1"/>
  <c r="Q132" i="2" s="1"/>
  <c r="O133" i="2"/>
  <c r="Q133" i="2" s="1" a="1"/>
  <c r="Q133" i="2" s="1"/>
  <c r="O134" i="2"/>
  <c r="Q134" i="2" s="1" a="1"/>
  <c r="Q134" i="2" s="1"/>
  <c r="O135" i="2"/>
  <c r="Q135" i="2" s="1" a="1"/>
  <c r="Q135" i="2" s="1"/>
  <c r="O136" i="2"/>
  <c r="Q136" i="2" s="1" a="1"/>
  <c r="Q136" i="2" s="1"/>
  <c r="O137" i="2"/>
  <c r="Q137" i="2" s="1" a="1"/>
  <c r="Q137" i="2" s="1"/>
  <c r="O138" i="2"/>
  <c r="Q138" i="2" s="1" a="1"/>
  <c r="Q138" i="2" s="1"/>
  <c r="O139" i="2"/>
  <c r="Q139" i="2" s="1" a="1"/>
  <c r="Q139" i="2" s="1"/>
  <c r="O140" i="2"/>
  <c r="Q140" i="2" s="1" a="1"/>
  <c r="Q140" i="2" s="1"/>
  <c r="O141" i="2"/>
  <c r="Q141" i="2" s="1" a="1"/>
  <c r="Q141" i="2" s="1"/>
  <c r="O142" i="2"/>
  <c r="Q142" i="2" s="1" a="1"/>
  <c r="Q142" i="2" s="1"/>
  <c r="O143" i="2"/>
  <c r="Q143" i="2" s="1" a="1"/>
  <c r="Q143" i="2" s="1"/>
  <c r="O144" i="2"/>
  <c r="Q144" i="2" s="1" a="1"/>
  <c r="Q144" i="2" s="1"/>
  <c r="O145" i="2"/>
  <c r="Q145" i="2" s="1" a="1"/>
  <c r="Q145" i="2" s="1"/>
  <c r="O146" i="2"/>
  <c r="Q146" i="2" s="1" a="1"/>
  <c r="Q146" i="2" s="1"/>
  <c r="O147" i="2"/>
  <c r="Q147" i="2" s="1" a="1"/>
  <c r="Q147" i="2" s="1"/>
  <c r="O148" i="2"/>
  <c r="Q148" i="2" s="1" a="1"/>
  <c r="Q148" i="2" s="1"/>
  <c r="O149" i="2"/>
  <c r="Q149" i="2" s="1" a="1"/>
  <c r="Q149" i="2" s="1"/>
  <c r="O150" i="2"/>
  <c r="Q150" i="2" s="1" a="1"/>
  <c r="Q150" i="2" s="1"/>
  <c r="O151" i="2"/>
  <c r="Q151" i="2" s="1" a="1"/>
  <c r="Q151" i="2" s="1"/>
  <c r="O152" i="2"/>
  <c r="Q152" i="2" s="1" a="1"/>
  <c r="Q152" i="2" s="1"/>
  <c r="O153" i="2"/>
  <c r="Q153" i="2" s="1" a="1"/>
  <c r="Q153" i="2" s="1"/>
  <c r="O154" i="2"/>
  <c r="Q154" i="2" s="1" a="1"/>
  <c r="Q154" i="2" s="1"/>
  <c r="O155" i="2"/>
  <c r="Q155" i="2" s="1" a="1"/>
  <c r="Q155" i="2" s="1"/>
  <c r="O156" i="2"/>
  <c r="Q156" i="2" s="1" a="1"/>
  <c r="Q156" i="2" s="1"/>
  <c r="O157" i="2"/>
  <c r="Q157" i="2" s="1" a="1"/>
  <c r="Q157" i="2" s="1"/>
  <c r="O158" i="2"/>
  <c r="Q158" i="2" s="1" a="1"/>
  <c r="Q158" i="2" s="1"/>
  <c r="O159" i="2"/>
  <c r="Q159" i="2" s="1" a="1"/>
  <c r="Q159" i="2" s="1"/>
  <c r="O160" i="2"/>
  <c r="Q160" i="2" s="1" a="1"/>
  <c r="Q160" i="2" s="1"/>
  <c r="O161" i="2"/>
  <c r="Q161" i="2" s="1" a="1"/>
  <c r="Q161" i="2" s="1"/>
  <c r="O162" i="2"/>
  <c r="Q162" i="2" s="1" a="1"/>
  <c r="Q162" i="2" s="1"/>
  <c r="O163" i="2"/>
  <c r="O164" i="2"/>
  <c r="Q164" i="2" s="1" a="1"/>
  <c r="Q164" i="2" s="1"/>
  <c r="O165" i="2"/>
  <c r="Q165" i="2" s="1" a="1"/>
  <c r="Q165" i="2" s="1"/>
  <c r="O166" i="2"/>
  <c r="Q166" i="2" s="1" a="1"/>
  <c r="Q166" i="2" s="1"/>
  <c r="O167" i="2"/>
  <c r="Q167" i="2" s="1" a="1"/>
  <c r="Q167" i="2" s="1"/>
  <c r="O168" i="2"/>
  <c r="O169" i="2"/>
  <c r="O170" i="2"/>
  <c r="Q170" i="2" s="1" a="1"/>
  <c r="Q170" i="2" s="1"/>
  <c r="O171" i="2"/>
  <c r="Q171" i="2" s="1" a="1"/>
  <c r="Q171" i="2" s="1"/>
  <c r="O172" i="2"/>
  <c r="Q172" i="2" s="1" a="1"/>
  <c r="Q172" i="2" s="1"/>
  <c r="O173" i="2"/>
  <c r="Q173" i="2" s="1" a="1"/>
  <c r="Q173" i="2" s="1"/>
  <c r="O174" i="2"/>
  <c r="Q174" i="2" s="1" a="1"/>
  <c r="Q174" i="2" s="1"/>
  <c r="O175" i="2"/>
  <c r="Q175" i="2" s="1" a="1"/>
  <c r="Q175" i="2" s="1"/>
  <c r="O176" i="2"/>
  <c r="O177" i="2"/>
  <c r="Q177" i="2" s="1" a="1"/>
  <c r="Q177" i="2" s="1"/>
  <c r="O178" i="2"/>
  <c r="Q178" i="2" s="1" a="1"/>
  <c r="Q178" i="2" s="1"/>
  <c r="O179" i="2"/>
  <c r="Q179" i="2" s="1" a="1"/>
  <c r="Q179" i="2" s="1"/>
  <c r="O180" i="2"/>
  <c r="Q180" i="2" s="1" a="1"/>
  <c r="Q180" i="2" s="1"/>
  <c r="O181" i="2"/>
  <c r="Q181" i="2" s="1" a="1"/>
  <c r="Q18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<sst xmlns="http://schemas.openxmlformats.org/spreadsheetml/2006/main" count="1638" uniqueCount="428">
  <si>
    <t>LeadID</t>
  </si>
  <si>
    <t>Company</t>
  </si>
  <si>
    <t>Industry</t>
  </si>
  <si>
    <t>DealStage</t>
  </si>
  <si>
    <t>DealValue</t>
  </si>
  <si>
    <t>Probability</t>
  </si>
  <si>
    <t>Owner</t>
  </si>
  <si>
    <t>LastContactDate</t>
  </si>
  <si>
    <t>NextStep</t>
  </si>
  <si>
    <t>DaysInStage</t>
  </si>
  <si>
    <t>Notes</t>
  </si>
  <si>
    <t>ReasonLost</t>
  </si>
  <si>
    <t>Region</t>
  </si>
  <si>
    <t>Source</t>
  </si>
  <si>
    <t>WeightedValue</t>
  </si>
  <si>
    <t>CAC</t>
  </si>
  <si>
    <t>ROAS</t>
  </si>
  <si>
    <t>DaysLate</t>
  </si>
  <si>
    <t>CostPerLead</t>
  </si>
  <si>
    <t>L-2025-0001</t>
  </si>
  <si>
    <t>NovaWorks AI</t>
  </si>
  <si>
    <t>Agency</t>
  </si>
  <si>
    <t>Discovery</t>
  </si>
  <si>
    <t>Olivia Davis</t>
  </si>
  <si>
    <t>Share questionnaire</t>
  </si>
  <si>
    <t>Needs integration with Salesforce and NetSuite.</t>
  </si>
  <si>
    <t>APAC</t>
  </si>
  <si>
    <t>Outbound</t>
  </si>
  <si>
    <t>Inbound</t>
  </si>
  <si>
    <t>L-2025-0002</t>
  </si>
  <si>
    <t>BrightPath Labs</t>
  </si>
  <si>
    <t>Ecom</t>
  </si>
  <si>
    <t>Prospecting</t>
  </si>
  <si>
    <t>Liam Johnson</t>
  </si>
  <si>
    <t>Send one-pager</t>
  </si>
  <si>
    <t>Stakeholder change—new VP reviewing vendors.</t>
  </si>
  <si>
    <t>EMEA</t>
  </si>
  <si>
    <t>Referral</t>
  </si>
  <si>
    <t>L-2025-0003</t>
  </si>
  <si>
    <t>Aperture Manufacturing</t>
  </si>
  <si>
    <t>Proposal</t>
  </si>
  <si>
    <t>Ava Chen</t>
  </si>
  <si>
    <t>Confirm decision date</t>
  </si>
  <si>
    <t>Trial went well; asked for reference customer call.</t>
  </si>
  <si>
    <t>Partner</t>
  </si>
  <si>
    <t>L-2025-0004</t>
  </si>
  <si>
    <t>Catalyst Partners</t>
  </si>
  <si>
    <t>Noah Patel</t>
  </si>
  <si>
    <t>LinkedIn outreach</t>
  </si>
  <si>
    <t>NA</t>
  </si>
  <si>
    <t>L-2025-0005</t>
  </si>
  <si>
    <t>Hooli Manufacturing</t>
  </si>
  <si>
    <t>SaaS</t>
  </si>
  <si>
    <t>Negotiation</t>
  </si>
  <si>
    <t>Lucas Martin</t>
  </si>
  <si>
    <t>Security review</t>
  </si>
  <si>
    <t>Competitor also in evaluation; we need stronger ROI case.</t>
  </si>
  <si>
    <t>Other</t>
  </si>
  <si>
    <t>L-2025-0006</t>
  </si>
  <si>
    <t>Greenfield Solutions</t>
  </si>
  <si>
    <t>Ethan Brown</t>
  </si>
  <si>
    <t>Champion engaged; needs buy-in from Finance.</t>
  </si>
  <si>
    <t>L-2025-0007</t>
  </si>
  <si>
    <t>Elevate AI</t>
  </si>
  <si>
    <t>Mia Rodriguez</t>
  </si>
  <si>
    <t>Looking to replace legacy tool; timeline depends on budget approval.</t>
  </si>
  <si>
    <t>L-2025-0008</t>
  </si>
  <si>
    <t>Aperture Partners</t>
  </si>
  <si>
    <t>Confirm requirements</t>
  </si>
  <si>
    <t>L-2025-0009</t>
  </si>
  <si>
    <t>Aperture Co</t>
  </si>
  <si>
    <t>L-2025-0010</t>
  </si>
  <si>
    <t>Greenfield Manufacturing</t>
  </si>
  <si>
    <t>Services</t>
  </si>
  <si>
    <t>Closed Won</t>
  </si>
  <si>
    <t>Kickoff meeting</t>
  </si>
  <si>
    <t>L-2025-0011</t>
  </si>
  <si>
    <t>LexCorp Labs</t>
  </si>
  <si>
    <t>Closed Lost</t>
  </si>
  <si>
    <t>No budget</t>
  </si>
  <si>
    <t>L-2025-0012</t>
  </si>
  <si>
    <t>CloudNine Co</t>
  </si>
  <si>
    <t>Sophia Kim</t>
  </si>
  <si>
    <t>Legal review kickoff</t>
  </si>
  <si>
    <t>L-2025-0013</t>
  </si>
  <si>
    <t>Pioneer Group</t>
  </si>
  <si>
    <t>L-2025-0014</t>
  </si>
  <si>
    <t>greenfield labs</t>
  </si>
  <si>
    <t>Finalize redlines</t>
  </si>
  <si>
    <t>L-2025-0015</t>
  </si>
  <si>
    <t>Wayne Holdings</t>
  </si>
  <si>
    <t>Qualify lead</t>
  </si>
  <si>
    <t>Interested in improving reporting and reducing manual work.</t>
  </si>
  <si>
    <t>L-2025-0016</t>
  </si>
  <si>
    <t>Globex Partners</t>
  </si>
  <si>
    <t>Pricing sensitivity—asked for phased rollout options.</t>
  </si>
  <si>
    <t>L-2025-0017</t>
  </si>
  <si>
    <t>Vertex Industries</t>
  </si>
  <si>
    <t>Requested security documentation and SOC2 report.</t>
  </si>
  <si>
    <t>L-2025-0018</t>
  </si>
  <si>
    <t>Atlas Solutions</t>
  </si>
  <si>
    <t>Map stakeholders</t>
  </si>
  <si>
    <t>Concerned about implementation resources; prefers guided onboarding.</t>
  </si>
  <si>
    <t>L-2025-0019</t>
  </si>
  <si>
    <t>Bridgepoint Solutions</t>
  </si>
  <si>
    <t>L-2025-0020</t>
  </si>
  <si>
    <t>Keystone Technologies</t>
  </si>
  <si>
    <t>Align on scope</t>
  </si>
  <si>
    <t>L-2025-0021</t>
  </si>
  <si>
    <t>Oscorp Holdings</t>
  </si>
  <si>
    <t>Implementation planning</t>
  </si>
  <si>
    <t>L-2025-0022</t>
  </si>
  <si>
    <t>Initech Systems</t>
  </si>
  <si>
    <t>Document loss reason</t>
  </si>
  <si>
    <t>Competitor</t>
  </si>
  <si>
    <t>L-2025-0023</t>
  </si>
  <si>
    <t>Nimbus Consulting</t>
  </si>
  <si>
    <t>Meridian Manufacturing</t>
  </si>
  <si>
    <t>L-2025-0025</t>
  </si>
  <si>
    <t>Wayne Commerce</t>
  </si>
  <si>
    <t>L-2025-0026</t>
  </si>
  <si>
    <t>Soylent Industries</t>
  </si>
  <si>
    <t>L-2025-0027</t>
  </si>
  <si>
    <t>Cyberdyne Labs</t>
  </si>
  <si>
    <t>L-2025-0028</t>
  </si>
  <si>
    <t>Oscorp Partners</t>
  </si>
  <si>
    <t>Manufacturing</t>
  </si>
  <si>
    <t>L-2025-0029</t>
  </si>
  <si>
    <t>Hooli Industries</t>
  </si>
  <si>
    <t>L-2025-0030</t>
  </si>
  <si>
    <t>Wayne Systems</t>
  </si>
  <si>
    <t>Review pricing options</t>
  </si>
  <si>
    <t>L-2025-0031</t>
  </si>
  <si>
    <t>Aperture Consulting</t>
  </si>
  <si>
    <t>L-2025-0032</t>
  </si>
  <si>
    <t>NovaWorks Co</t>
  </si>
  <si>
    <t>Invoice / PO</t>
  </si>
  <si>
    <t>L-2025-0033</t>
  </si>
  <si>
    <t>CloudNine Holdings</t>
  </si>
  <si>
    <t>Book technical deep-dive</t>
  </si>
  <si>
    <t>L-2025-0034</t>
  </si>
  <si>
    <t>Elevate Consulting</t>
  </si>
  <si>
    <t>L-2025-0035</t>
  </si>
  <si>
    <t>Wonka Manufacturing</t>
  </si>
  <si>
    <t>L-2025-0036</t>
  </si>
  <si>
    <t>Fusion Solutions</t>
  </si>
  <si>
    <t>L-2025-0037</t>
  </si>
  <si>
    <t>Globex AI</t>
  </si>
  <si>
    <t>Finalize procurement</t>
  </si>
  <si>
    <t>L-2025-0038</t>
  </si>
  <si>
    <t>PolarPeak Co</t>
  </si>
  <si>
    <t>L-2025-0039</t>
  </si>
  <si>
    <t>Tyrell Holdings</t>
  </si>
  <si>
    <t>L-2025-0040</t>
  </si>
  <si>
    <t>Hooli Technologies</t>
  </si>
  <si>
    <t>L-2025-0041</t>
  </si>
  <si>
    <t>L-2025-0042</t>
  </si>
  <si>
    <t>Hooli Systems</t>
  </si>
  <si>
    <t>Executive call</t>
  </si>
  <si>
    <t>L-2025-0043</t>
  </si>
  <si>
    <t>Elevate Solutions</t>
  </si>
  <si>
    <t>Send proposal</t>
  </si>
  <si>
    <t>L-2025-0044</t>
  </si>
  <si>
    <t>Oscorp Technologies</t>
  </si>
  <si>
    <t>Add to nurture</t>
  </si>
  <si>
    <t>L-2025-0045</t>
  </si>
  <si>
    <t>Clearwater Holdings</t>
  </si>
  <si>
    <t>L-2025-0046</t>
  </si>
  <si>
    <t>Stonebridge Consulting</t>
  </si>
  <si>
    <t>L-2025-0047</t>
  </si>
  <si>
    <t>BluePeak Manufacturing</t>
  </si>
  <si>
    <t>Intro email</t>
  </si>
  <si>
    <t>Pioneer Manufacturing</t>
  </si>
  <si>
    <t>L-2025-0049</t>
  </si>
  <si>
    <t>Oak &amp; Stone Industries</t>
  </si>
  <si>
    <t>Cold call follow-up</t>
  </si>
  <si>
    <t>L-2025-0050</t>
  </si>
  <si>
    <t>Tyrell Co</t>
  </si>
  <si>
    <t>L-2025-0051</t>
  </si>
  <si>
    <t>Clearwater Logistics</t>
  </si>
  <si>
    <t>Negotiate terms</t>
  </si>
  <si>
    <t>L-2025-0052</t>
  </si>
  <si>
    <t>Silverline Consulting</t>
  </si>
  <si>
    <t>L-2025-0053</t>
  </si>
  <si>
    <t>Greenfield Technologies</t>
  </si>
  <si>
    <t>L-2025-0054</t>
  </si>
  <si>
    <t>LexCorp Co</t>
  </si>
  <si>
    <t>Handoff to CS</t>
  </si>
  <si>
    <t>L-2025-0055</t>
  </si>
  <si>
    <t>BluePeak Technologies</t>
  </si>
  <si>
    <t>L-2025-0056</t>
  </si>
  <si>
    <t>Greenfield Consulting</t>
  </si>
  <si>
    <t>Schedule discovery call</t>
  </si>
  <si>
    <t>L-2025-0057</t>
  </si>
  <si>
    <t>Silverline Solutions</t>
  </si>
  <si>
    <t>L-2025-0058</t>
  </si>
  <si>
    <t>Umbrella Digital</t>
  </si>
  <si>
    <t>L-2025-0059</t>
  </si>
  <si>
    <t>Nimbus Industries</t>
  </si>
  <si>
    <t>Close file</t>
  </si>
  <si>
    <t>No decision</t>
  </si>
  <si>
    <t>L-2025-0060</t>
  </si>
  <si>
    <t>L-2025-0061</t>
  </si>
  <si>
    <t>Stark Systems</t>
  </si>
  <si>
    <t>L-2025-0062</t>
  </si>
  <si>
    <t>Harborview Solutions</t>
  </si>
  <si>
    <t>L-2025-0063</t>
  </si>
  <si>
    <t>Atlas Commerce</t>
  </si>
  <si>
    <t>L-2025-0064</t>
  </si>
  <si>
    <t>Pioneer Partners</t>
  </si>
  <si>
    <t>L-2025-0065</t>
  </si>
  <si>
    <t>Keystone Industries</t>
  </si>
  <si>
    <t>L-2025-0066</t>
  </si>
  <si>
    <t>Send welcome pack</t>
  </si>
  <si>
    <t>L-2025-0067</t>
  </si>
  <si>
    <t>Lumen Labs</t>
  </si>
  <si>
    <t>L-2025-0068</t>
  </si>
  <si>
    <t>L-2025-0069</t>
  </si>
  <si>
    <t>Blue Yonder Group</t>
  </si>
  <si>
    <t>L-2025-0070</t>
  </si>
  <si>
    <t>Catalyst Co</t>
  </si>
  <si>
    <t>L-2025-0071</t>
  </si>
  <si>
    <t>Clearwater Technologies</t>
  </si>
  <si>
    <t>L-2025-0072</t>
  </si>
  <si>
    <t>PolarPeak Technologies</t>
  </si>
  <si>
    <t>L-2025-0073</t>
  </si>
  <si>
    <t>Atlas Technologies</t>
  </si>
  <si>
    <t>L-2025-0074</t>
  </si>
  <si>
    <t>Tyrell Manufacturing</t>
  </si>
  <si>
    <t>L-2025-0076</t>
  </si>
  <si>
    <t>Elevate Media</t>
  </si>
  <si>
    <t>L-2025-0077</t>
  </si>
  <si>
    <t>Cyberdyne Group</t>
  </si>
  <si>
    <t>L-2025-0078</t>
  </si>
  <si>
    <t>cloudnine technologies</t>
  </si>
  <si>
    <t>L-2025-0079</t>
  </si>
  <si>
    <t>Meridian Media</t>
  </si>
  <si>
    <t>L-2025-0080</t>
  </si>
  <si>
    <t>Globex Consulting</t>
  </si>
  <si>
    <t>L-2025-0081</t>
  </si>
  <si>
    <t>Oak &amp; Stone Partners</t>
  </si>
  <si>
    <t>L-2025-0082</t>
  </si>
  <si>
    <t>BrightPath Technologies</t>
  </si>
  <si>
    <t>L-2025-0083</t>
  </si>
  <si>
    <t>Silverline Digital</t>
  </si>
  <si>
    <t>L-2025-0084</t>
  </si>
  <si>
    <t>Hooli Group</t>
  </si>
  <si>
    <t>L-2025-0085</t>
  </si>
  <si>
    <t>L-2025-0086</t>
  </si>
  <si>
    <t>MONARCH INDUSTRIES</t>
  </si>
  <si>
    <t>L-2025-0087</t>
  </si>
  <si>
    <t>Vertex Digital</t>
  </si>
  <si>
    <t>L-2025-0088</t>
  </si>
  <si>
    <t>Vertex Commerce</t>
  </si>
  <si>
    <t>L-2025-0089</t>
  </si>
  <si>
    <t>Cyberdyne Industries</t>
  </si>
  <si>
    <t>L-2025-0090</t>
  </si>
  <si>
    <t>Vertex Solutions</t>
  </si>
  <si>
    <t>L-2025-0091</t>
  </si>
  <si>
    <t>Pioneer Labs</t>
  </si>
  <si>
    <t>L-2025-0092</t>
  </si>
  <si>
    <t>Monarch Co</t>
  </si>
  <si>
    <t>L-2025-0093</t>
  </si>
  <si>
    <t>CloudNine Consulting</t>
  </si>
  <si>
    <t>L-2025-0094</t>
  </si>
  <si>
    <t>Lumen Media</t>
  </si>
  <si>
    <t>L-2025-0095</t>
  </si>
  <si>
    <t>Oak &amp; Stone Digital</t>
  </si>
  <si>
    <t>L-2025-0096</t>
  </si>
  <si>
    <t>Contoso Manufacturing</t>
  </si>
  <si>
    <t>L-2025-0097</t>
  </si>
  <si>
    <t>UMBRELLA AI</t>
  </si>
  <si>
    <t>L-2025-0098</t>
  </si>
  <si>
    <t>Vandelay Commerce</t>
  </si>
  <si>
    <t>L-2025-0099</t>
  </si>
  <si>
    <t>CloudNine AI</t>
  </si>
  <si>
    <t>L-2025-0100</t>
  </si>
  <si>
    <t>Globex Logistics</t>
  </si>
  <si>
    <t>L-2025-0101</t>
  </si>
  <si>
    <t>Meridian Systems</t>
  </si>
  <si>
    <t>L-2025-0102</t>
  </si>
  <si>
    <t>Stark Co</t>
  </si>
  <si>
    <t>L-2025-0103</t>
  </si>
  <si>
    <t>Keystone Labs</t>
  </si>
  <si>
    <t>L-2025-0104</t>
  </si>
  <si>
    <t>LexCorp Digital</t>
  </si>
  <si>
    <t>L-2025-0105</t>
  </si>
  <si>
    <t>L-2025-0106</t>
  </si>
  <si>
    <t>Stark Industries</t>
  </si>
  <si>
    <t>L-2025-0107</t>
  </si>
  <si>
    <t>Wayne Digital</t>
  </si>
  <si>
    <t>L-2025-0108</t>
  </si>
  <si>
    <t>Stark Media</t>
  </si>
  <si>
    <t>L-2025-0109</t>
  </si>
  <si>
    <t>Quantum Logistics</t>
  </si>
  <si>
    <t>L-2025-0110</t>
  </si>
  <si>
    <t>Ironclad Logistics</t>
  </si>
  <si>
    <t>L-2025-0111</t>
  </si>
  <si>
    <t>Contoso Media</t>
  </si>
  <si>
    <t>L-2025-0112</t>
  </si>
  <si>
    <t>Redwood Solutions</t>
  </si>
  <si>
    <t>L-2025-0113</t>
  </si>
  <si>
    <t>Redwood Labs</t>
  </si>
  <si>
    <t>L-2025-0114</t>
  </si>
  <si>
    <t>Clearwater Co</t>
  </si>
  <si>
    <t>Redwood Commerce</t>
  </si>
  <si>
    <t>Request feedback</t>
  </si>
  <si>
    <t>Price</t>
  </si>
  <si>
    <t>L-2025-0116</t>
  </si>
  <si>
    <t>Monarch Logistics</t>
  </si>
  <si>
    <t>L-2025-0117</t>
  </si>
  <si>
    <t>Cyberdyne Solutions</t>
  </si>
  <si>
    <t>L-2025-0118</t>
  </si>
  <si>
    <t>Stonebridge Systems</t>
  </si>
  <si>
    <t>L-2025-0119</t>
  </si>
  <si>
    <t>Wayne AI</t>
  </si>
  <si>
    <t>L-2025-0120</t>
  </si>
  <si>
    <t>Summit Consulting</t>
  </si>
  <si>
    <t>L-2025-0121</t>
  </si>
  <si>
    <t>L-2025-0122</t>
  </si>
  <si>
    <t>LexCorp Industries</t>
  </si>
  <si>
    <t>L-2025-0123</t>
  </si>
  <si>
    <t>Ironclad AI</t>
  </si>
  <si>
    <t>L-2025-0124</t>
  </si>
  <si>
    <t>Ironclad Media</t>
  </si>
  <si>
    <t>L-2025-0125</t>
  </si>
  <si>
    <t>Atlas Labs</t>
  </si>
  <si>
    <t>L-2025-0126</t>
  </si>
  <si>
    <t>Soylent Solutions</t>
  </si>
  <si>
    <t>L-2025-0127</t>
  </si>
  <si>
    <t>Summit Co</t>
  </si>
  <si>
    <t>L-2025-0128</t>
  </si>
  <si>
    <t>Initech Labs</t>
  </si>
  <si>
    <t>L-2025-0129</t>
  </si>
  <si>
    <t>Globex Systems</t>
  </si>
  <si>
    <t>L-2025-0130</t>
  </si>
  <si>
    <t>Wonka Logistics</t>
  </si>
  <si>
    <t>L-2025-0131</t>
  </si>
  <si>
    <t>Stonebridge Co</t>
  </si>
  <si>
    <t>L-2025-0132</t>
  </si>
  <si>
    <t>L-2025-0133</t>
  </si>
  <si>
    <t>Wonka Group</t>
  </si>
  <si>
    <t>L-2025-0134</t>
  </si>
  <si>
    <t>Nimbus Co</t>
  </si>
  <si>
    <t>L-2025-0135</t>
  </si>
  <si>
    <t>PolarPeak Media</t>
  </si>
  <si>
    <t>L-2025-0136</t>
  </si>
  <si>
    <t>Quantum Group</t>
  </si>
  <si>
    <t>L-2025-0137</t>
  </si>
  <si>
    <t>Oscorp Industries</t>
  </si>
  <si>
    <t>L-2025-0138</t>
  </si>
  <si>
    <t>Re-engage next quarter</t>
  </si>
  <si>
    <t>L-2025-0139</t>
  </si>
  <si>
    <t>vandelay logistics</t>
  </si>
  <si>
    <t>L-2025-0140</t>
  </si>
  <si>
    <t>Pied Piper Holdings</t>
  </si>
  <si>
    <t>L-2025-0141</t>
  </si>
  <si>
    <t>L-2025-0142</t>
  </si>
  <si>
    <t>Keystone Manufacturing</t>
  </si>
  <si>
    <t>L-2025-0143</t>
  </si>
  <si>
    <t>Beacon Labs</t>
  </si>
  <si>
    <t>L-2025-0144</t>
  </si>
  <si>
    <t>Atlas Partners</t>
  </si>
  <si>
    <t>L-2025-0145</t>
  </si>
  <si>
    <t>Oak &amp; Stone Co</t>
  </si>
  <si>
    <t>L-2025-0146</t>
  </si>
  <si>
    <t>Vertex Media</t>
  </si>
  <si>
    <t>L-2025-0147</t>
  </si>
  <si>
    <t>L-2025-0148</t>
  </si>
  <si>
    <t>Orbit Solutions</t>
  </si>
  <si>
    <t>L-2025-0149</t>
  </si>
  <si>
    <t>Contoso Co</t>
  </si>
  <si>
    <t>L-2025-0150</t>
  </si>
  <si>
    <t>Atlas Group</t>
  </si>
  <si>
    <t>L-2025-0151</t>
  </si>
  <si>
    <t>Quantum Digital</t>
  </si>
  <si>
    <t>L-2025-0152</t>
  </si>
  <si>
    <t>Elevate Partners</t>
  </si>
  <si>
    <t>L-2025-0153</t>
  </si>
  <si>
    <t>Beacon Media</t>
  </si>
  <si>
    <t>L-2025-0154</t>
  </si>
  <si>
    <t>Monarch Media</t>
  </si>
  <si>
    <t>L-2025-0155</t>
  </si>
  <si>
    <t>Summit Systems</t>
  </si>
  <si>
    <t>L-2025-0156</t>
  </si>
  <si>
    <t>Quantum Solutions</t>
  </si>
  <si>
    <t>L-2025-0157</t>
  </si>
  <si>
    <t>L-2025-0158</t>
  </si>
  <si>
    <t>Bridgepoint Group</t>
  </si>
  <si>
    <t>L-2025-0159</t>
  </si>
  <si>
    <t>Crescent Logistics</t>
  </si>
  <si>
    <t>L-2025-0160</t>
  </si>
  <si>
    <t>Catalyst Systems</t>
  </si>
  <si>
    <t>L-2025-0161</t>
  </si>
  <si>
    <t>Meridian Group</t>
  </si>
  <si>
    <t>L-2025-0162</t>
  </si>
  <si>
    <t>Silverline Holdings</t>
  </si>
  <si>
    <t>L-2025-0163</t>
  </si>
  <si>
    <t>novaworks holdings</t>
  </si>
  <si>
    <t>L-2025-0164</t>
  </si>
  <si>
    <t>Wayne Media</t>
  </si>
  <si>
    <t>L-2025-0165</t>
  </si>
  <si>
    <t>CloudNine Systems</t>
  </si>
  <si>
    <t>L-2025-0166</t>
  </si>
  <si>
    <t>L-2025-0167</t>
  </si>
  <si>
    <t>Beacon Systems</t>
  </si>
  <si>
    <t>L-2025-0168</t>
  </si>
  <si>
    <t>Synergy Systems</t>
  </si>
  <si>
    <t>L-2025-0169</t>
  </si>
  <si>
    <t>L-2025-0170</t>
  </si>
  <si>
    <t>Stonebridge Manufacturing</t>
  </si>
  <si>
    <t>L-2025-0171</t>
  </si>
  <si>
    <t>Vandelay AI</t>
  </si>
  <si>
    <t>L-2025-0172</t>
  </si>
  <si>
    <t>L-2025-0173</t>
  </si>
  <si>
    <t>L-2025-0174</t>
  </si>
  <si>
    <t>CATALYST CO</t>
  </si>
  <si>
    <t>L-2025-0175</t>
  </si>
  <si>
    <t>Vandelay Holdings</t>
  </si>
  <si>
    <t>L-2025-0176</t>
  </si>
  <si>
    <t>Evergreen Systems</t>
  </si>
  <si>
    <t>L-2025-0177</t>
  </si>
  <si>
    <t>L-2025-0178</t>
  </si>
  <si>
    <t>BrightPath Digital</t>
  </si>
  <si>
    <t>L-2025-0179</t>
  </si>
  <si>
    <t>Evergreen Labs</t>
  </si>
  <si>
    <t>L-2025-0180</t>
  </si>
  <si>
    <t>CloudNine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</si>
</sst>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9">
    <dxf>
      <numFmt numFmtId="164" formatCode="&quot;$&quot;#,##0"/>
    </dxf>
    <dxf>
      <numFmt numFmtId="1" formatCode="0"/>
    </dxf>
    <dxf>
      <numFmt numFmtId="2" formatCode="0.00"/>
    </dxf>
    <dxf>
      <numFmt numFmtId="164" formatCode="&quot;$&quot;#,##0"/>
    </dxf>
    <dxf>
      <numFmt numFmtId="164" formatCode="&quot;$&quot;#,##0"/>
    </dxf>
    <dxf>
      <numFmt numFmtId="1" formatCode="0"/>
    </dxf>
    <dxf>
      <numFmt numFmtId="165" formatCode="yyyy\-mm\-dd"/>
    </dxf>
    <dxf>
      <numFmt numFmtId="13" formatCode="0%"/>
    </dxf>
    <dxf>
      <numFmt numFmtId="164" formatCode="&quot;$&quot;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8138C6-D934-4E7D-98FB-29B272CC724E}" name="PipelineTable" displayName="PipelineTable" ref="A1:R181" totalsRowShown="0">
  <autoFilter ref="A1:R181" xr:uid="{238138C6-D934-4E7D-98FB-29B272CC724E}"/>
  <tableColumns count="18">
    <tableColumn id="1" xr3:uid="{61677D10-D429-4B28-8EBB-2AEC5EAD979A}" name="LeadID"/>
    <tableColumn id="2" xr3:uid="{294B4845-0425-40E4-8E6E-9A90378475B5}" name="Company"/>
    <tableColumn id="3" xr3:uid="{D83A535E-3E46-4152-9E95-2C0BDF8039CC}" name="Industry"/>
    <tableColumn id="4" xr3:uid="{4353556C-5749-4DD7-83C5-29B0F0BF8586}" name="DealStage"/>
    <tableColumn id="5" xr3:uid="{51DAF0A4-049C-4F48-9397-90F7FE54C49D}" name="DealValue" dataDxfId="8"/>
    <tableColumn id="6" xr3:uid="{F2DF8D34-B09B-4A41-A180-EA6BEC1AAFFE}" name="Probability" dataDxfId="7"/>
    <tableColumn id="7" xr3:uid="{F1A1648B-8403-4489-A350-0DD256A68C86}" name="Owner"/>
    <tableColumn id="8" xr3:uid="{C2A6ED17-5D5A-4443-BB91-919C944A7DCB}" name="LastContactDate" dataDxfId="6"/>
    <tableColumn id="9" xr3:uid="{9B34CA92-437B-47D3-BD06-6FBCA3D33927}" name="NextStep"/>
    <tableColumn id="10" xr3:uid="{EA21CB2D-904F-4CAF-838B-510198A1E4D4}" name="DaysInStage" dataDxfId="5"/>
    <tableColumn id="11" xr3:uid="{778FAA61-27B3-4A67-97C7-CC878763ED9D}" name="Notes"/>
    <tableColumn id="12" xr3:uid="{85A76D55-7288-42CA-AD90-2D4A5686A65D}" name="ReasonLost"/>
    <tableColumn id="13" xr3:uid="{479393F6-E56A-4707-B644-4C45FABA47D3}" name="Region"/>
    <tableColumn id="14" xr3:uid="{DA929801-8141-4845-8A80-5CFFE30B7945}" name="Source"/>
    <tableColumn id="15" xr3:uid="{108D8F3D-4BA7-490C-9677-E9B49B38908E}" name="WeightedValue" dataDxfId="4">
      <calculatedColumnFormula>PipelineTable[[#This Row],[DealValue]]*PipelineTable[[#This Row],[Probability]]</calculatedColumnFormula>
    </tableColumn>
    <tableColumn id="16" xr3:uid="{FE8149A6-7FE8-40B4-9522-C91CEB7CCCDE}" name="CAC" dataDxfId="3">
      <calculatedColumnFormula array="1">_xlfn.LET(_xlpm.cpl,IFERROR(_xlfn.XLOOKUP(PipelineTable[[#This Row],[Source]],SourceMetrics[Source],SourceMetrics[CostPerLead]),""),IF(AND(_xlpm.cpl&lt;&gt;"",PipelineTable[[#This Row],[Probability]]&gt;0),_xlpm.cpl/PipelineTable[[#This Row],[Probability]],""))</calculatedColumnFormula>
    </tableColumn>
    <tableColumn id="17" xr3:uid="{351D49A7-4D99-4FC6-AD74-CA4F54791FE5}" name="ROAS" dataDxfId="2">
      <calculatedColumnFormula array="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calculatedColumnFormula>
    </tableColumn>
    <tableColumn id="18" xr3:uid="{ECE17263-9F50-4C68-8D2E-90DE5FB237A6}" name="DaysLate" dataDxfId="1">
      <calculatedColumnFormula>MAX(0,TODAY()-PipelineTable[[#This Row],[LastContactDate]]-14)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5A960C-FC8D-4160-B3D1-C08E847BCD04}" name="SourceMetrics" displayName="SourceMetrics" ref="T1:U6" totalsRowShown="0">
  <autoFilter ref="T1:U6" xr:uid="{A45A960C-FC8D-4160-B3D1-C08E847BCD04}"/>
  <tableColumns count="2">
    <tableColumn id="1" xr3:uid="{991A93AB-34E1-42CB-A2BC-9B4DCA9C0E6B}" name="Source"/>
    <tableColumn id="2" xr3:uid="{40B348C7-D3FC-48A5-82F1-AD1CEEDFA777}" name="CostPerLe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49FF-18B1-4E28-ABAA-A9E55BE1F63E}">
  <dimension ref="A1:U1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bestFit="1" customWidth="1"/>
    <col min="2" max="2" width="24.85546875" bestFit="1" customWidth="1"/>
    <col min="3" max="3" width="13.7109375" bestFit="1" customWidth="1"/>
    <col min="4" max="4" width="12" bestFit="1" customWidth="1"/>
    <col min="5" max="5" width="12.28515625" bestFit="1" customWidth="1"/>
    <col min="6" max="6" width="12.85546875" bestFit="1" customWidth="1"/>
    <col min="7" max="7" width="13.42578125" bestFit="1" customWidth="1"/>
    <col min="8" max="8" width="17.85546875" bestFit="1" customWidth="1"/>
    <col min="9" max="9" width="22.85546875" bestFit="1" customWidth="1"/>
    <col min="10" max="10" width="14" bestFit="1" customWidth="1"/>
    <col min="11" max="11" width="64.140625" bestFit="1" customWidth="1"/>
    <col min="12" max="12" width="13.28515625" bestFit="1" customWidth="1"/>
    <col min="13" max="13" width="9.28515625" bestFit="1" customWidth="1"/>
    <col min="14" max="14" width="9.7109375" bestFit="1" customWidth="1"/>
    <col min="15" max="15" width="16.85546875" bestFit="1" customWidth="1"/>
    <col min="16" max="16" width="6.85546875" bestFit="1" customWidth="1"/>
    <col min="17" max="17" width="8.140625" bestFit="1" customWidth="1"/>
    <col min="18" max="18" width="11.1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13</v>
      </c>
      <c r="U1" t="s">
        <v>18</v>
      </c>
    </row>
    <row r="2" spans="1:21">
      <c r="A2" t="s">
        <v>19</v>
      </c>
      <c r="B2" t="s">
        <v>20</v>
      </c>
      <c r="C2" t="s">
        <v>21</v>
      </c>
      <c r="D2" t="s">
        <v>22</v>
      </c>
      <c r="E2" s="1">
        <v>20775</v>
      </c>
      <c r="F2" s="2">
        <v>0.25</v>
      </c>
      <c r="G2" t="s">
        <v>23</v>
      </c>
      <c r="H2" s="3">
        <v>45691</v>
      </c>
      <c r="I2" t="s">
        <v>24</v>
      </c>
      <c r="J2" s="4">
        <v>11</v>
      </c>
      <c r="K2" t="s">
        <v>25</v>
      </c>
      <c r="M2" t="s">
        <v>26</v>
      </c>
      <c r="N2" t="s">
        <v>27</v>
      </c>
      <c r="O2" s="1">
        <f>PipelineTable[[#This Row],[DealValue]]*PipelineTable[[#This Row],[Probability]]</f>
        <v>5193.75</v>
      </c>
      <c r="P2" s="1" cm="1">
        <f t="array" ref="P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1200</v>
      </c>
      <c r="Q2" s="5" cm="1">
        <f t="array" ref="Q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17.3125</v>
      </c>
      <c r="R2" s="4">
        <f ca="1">MAX(0,TODAY()-PipelineTable[[#This Row],[LastContactDate]]-14)</f>
        <v>335</v>
      </c>
      <c r="T2" t="s">
        <v>28</v>
      </c>
      <c r="U2" s="1">
        <v>150</v>
      </c>
    </row>
    <row r="3" spans="1:21">
      <c r="A3" t="s">
        <v>29</v>
      </c>
      <c r="B3" t="s">
        <v>30</v>
      </c>
      <c r="C3" t="s">
        <v>31</v>
      </c>
      <c r="D3" t="s">
        <v>32</v>
      </c>
      <c r="E3" s="1">
        <v>57128</v>
      </c>
      <c r="F3" s="2">
        <v>0.23</v>
      </c>
      <c r="G3" t="s">
        <v>33</v>
      </c>
      <c r="H3" s="3">
        <v>45753</v>
      </c>
      <c r="I3" t="s">
        <v>34</v>
      </c>
      <c r="J3" s="4">
        <v>3</v>
      </c>
      <c r="K3" t="s">
        <v>35</v>
      </c>
      <c r="M3" t="s">
        <v>36</v>
      </c>
      <c r="N3" t="s">
        <v>37</v>
      </c>
      <c r="O3" s="1">
        <f>PipelineTable[[#This Row],[DealValue]]*PipelineTable[[#This Row],[Probability]]</f>
        <v>13139.44</v>
      </c>
      <c r="P3" s="1" cm="1">
        <f t="array" ref="P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434.78260869565213</v>
      </c>
      <c r="Q3" s="5" cm="1">
        <f t="array" ref="Q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131.39440000000002</v>
      </c>
      <c r="R3" s="4">
        <f ca="1">MAX(0,TODAY()-PipelineTable[[#This Row],[LastContactDate]]-14)</f>
        <v>273</v>
      </c>
      <c r="T3" t="s">
        <v>27</v>
      </c>
      <c r="U3" s="1">
        <v>300</v>
      </c>
    </row>
    <row r="4" spans="1:21">
      <c r="A4" t="s">
        <v>38</v>
      </c>
      <c r="B4" t="s">
        <v>39</v>
      </c>
      <c r="C4" t="s">
        <v>21</v>
      </c>
      <c r="D4" t="s">
        <v>40</v>
      </c>
      <c r="E4" s="1">
        <v>14089</v>
      </c>
      <c r="F4" s="2">
        <v>0.49</v>
      </c>
      <c r="G4" t="s">
        <v>41</v>
      </c>
      <c r="H4" s="3">
        <v>45699</v>
      </c>
      <c r="I4" t="s">
        <v>42</v>
      </c>
      <c r="J4" s="4">
        <v>34</v>
      </c>
      <c r="K4" t="s">
        <v>43</v>
      </c>
      <c r="M4" t="s">
        <v>36</v>
      </c>
      <c r="N4" t="s">
        <v>44</v>
      </c>
      <c r="O4" s="1">
        <f>PipelineTable[[#This Row],[DealValue]]*PipelineTable[[#This Row],[Probability]]</f>
        <v>6903.61</v>
      </c>
      <c r="P4" s="1" cm="1">
        <f t="array" ref="P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408.16326530612247</v>
      </c>
      <c r="Q4" s="5" cm="1">
        <f t="array" ref="Q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34.518049999999995</v>
      </c>
      <c r="R4" s="4">
        <f ca="1">MAX(0,TODAY()-PipelineTable[[#This Row],[LastContactDate]]-14)</f>
        <v>327</v>
      </c>
      <c r="T4" t="s">
        <v>37</v>
      </c>
      <c r="U4" s="1">
        <v>100</v>
      </c>
    </row>
    <row r="5" spans="1:21">
      <c r="A5" t="s">
        <v>45</v>
      </c>
      <c r="B5" t="s">
        <v>46</v>
      </c>
      <c r="C5" t="s">
        <v>21</v>
      </c>
      <c r="D5" t="s">
        <v>32</v>
      </c>
      <c r="E5" s="1">
        <v>237792</v>
      </c>
      <c r="F5" s="2">
        <v>0.28000000000000003</v>
      </c>
      <c r="G5" t="s">
        <v>47</v>
      </c>
      <c r="H5" s="3">
        <v>45919</v>
      </c>
      <c r="I5" t="s">
        <v>48</v>
      </c>
      <c r="J5" s="4">
        <v>9</v>
      </c>
      <c r="K5" t="s">
        <v>25</v>
      </c>
      <c r="M5" t="s">
        <v>49</v>
      </c>
      <c r="N5" t="s">
        <v>44</v>
      </c>
      <c r="O5" s="1">
        <f>PipelineTable[[#This Row],[DealValue]]*PipelineTable[[#This Row],[Probability]]</f>
        <v>66581.760000000009</v>
      </c>
      <c r="P5" s="1" cm="1">
        <f t="array" ref="P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714.28571428571422</v>
      </c>
      <c r="Q5" s="5" cm="1">
        <f t="array" ref="Q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332.90880000000004</v>
      </c>
      <c r="R5" s="4">
        <f ca="1">MAX(0,TODAY()-PipelineTable[[#This Row],[LastContactDate]]-14)</f>
        <v>107</v>
      </c>
      <c r="T5" t="s">
        <v>44</v>
      </c>
      <c r="U5" s="1">
        <v>200</v>
      </c>
    </row>
    <row r="6" spans="1:21">
      <c r="A6" t="s">
        <v>50</v>
      </c>
      <c r="B6" t="s">
        <v>51</v>
      </c>
      <c r="C6" t="s">
        <v>52</v>
      </c>
      <c r="D6" t="s">
        <v>53</v>
      </c>
      <c r="E6" s="1">
        <v>12779</v>
      </c>
      <c r="F6" s="2">
        <v>0.63</v>
      </c>
      <c r="G6" t="s">
        <v>54</v>
      </c>
      <c r="H6" s="3">
        <v>45977</v>
      </c>
      <c r="I6" t="s">
        <v>55</v>
      </c>
      <c r="J6" s="4">
        <v>19</v>
      </c>
      <c r="K6" t="s">
        <v>56</v>
      </c>
      <c r="M6" t="s">
        <v>36</v>
      </c>
      <c r="N6" t="s">
        <v>44</v>
      </c>
      <c r="O6" s="1">
        <f>PipelineTable[[#This Row],[DealValue]]*PipelineTable[[#This Row],[Probability]]</f>
        <v>8050.77</v>
      </c>
      <c r="P6" s="1" cm="1">
        <f t="array" ref="P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317.46031746031747</v>
      </c>
      <c r="Q6" s="5" cm="1">
        <f t="array" ref="Q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40.25385</v>
      </c>
      <c r="R6" s="4">
        <f ca="1">MAX(0,TODAY()-PipelineTable[[#This Row],[LastContactDate]]-14)</f>
        <v>49</v>
      </c>
      <c r="T6" t="s">
        <v>57</v>
      </c>
      <c r="U6" s="1">
        <v>250</v>
      </c>
    </row>
    <row r="7" spans="1:21">
      <c r="A7" t="s">
        <v>58</v>
      </c>
      <c r="B7" t="s">
        <v>59</v>
      </c>
      <c r="C7" t="s">
        <v>57</v>
      </c>
      <c r="D7" t="s">
        <v>40</v>
      </c>
      <c r="E7" s="1">
        <v>78127</v>
      </c>
      <c r="F7" s="2">
        <v>0.62</v>
      </c>
      <c r="G7" t="s">
        <v>60</v>
      </c>
      <c r="H7" s="3">
        <v>45767</v>
      </c>
      <c r="I7" t="s">
        <v>42</v>
      </c>
      <c r="J7" s="4">
        <v>32</v>
      </c>
      <c r="K7" t="s">
        <v>61</v>
      </c>
      <c r="M7" t="s">
        <v>49</v>
      </c>
      <c r="N7" t="s">
        <v>37</v>
      </c>
      <c r="O7" s="1">
        <f>PipelineTable[[#This Row],[DealValue]]*PipelineTable[[#This Row],[Probability]]</f>
        <v>48438.74</v>
      </c>
      <c r="P7" s="1" cm="1">
        <f t="array" ref="P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161.29032258064515</v>
      </c>
      <c r="Q7" s="5" cm="1">
        <f t="array" ref="Q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484.38739999999996</v>
      </c>
      <c r="R7" s="4">
        <f ca="1">MAX(0,TODAY()-PipelineTable[[#This Row],[LastContactDate]]-14)</f>
        <v>259</v>
      </c>
    </row>
    <row r="8" spans="1:21">
      <c r="A8" t="s">
        <v>62</v>
      </c>
      <c r="B8" t="s">
        <v>63</v>
      </c>
      <c r="C8" t="s">
        <v>21</v>
      </c>
      <c r="D8" t="s">
        <v>22</v>
      </c>
      <c r="E8" s="1">
        <v>235743</v>
      </c>
      <c r="F8" s="2">
        <v>0.42</v>
      </c>
      <c r="G8" t="s">
        <v>64</v>
      </c>
      <c r="H8" s="3">
        <v>45775</v>
      </c>
      <c r="I8" t="s">
        <v>24</v>
      </c>
      <c r="J8" s="4">
        <v>30</v>
      </c>
      <c r="K8" t="s">
        <v>65</v>
      </c>
      <c r="M8" t="s">
        <v>36</v>
      </c>
      <c r="N8" t="s">
        <v>28</v>
      </c>
      <c r="O8" s="1">
        <f>PipelineTable[[#This Row],[DealValue]]*PipelineTable[[#This Row],[Probability]]</f>
        <v>99012.06</v>
      </c>
      <c r="P8" s="1" cm="1">
        <f t="array" ref="P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357.14285714285717</v>
      </c>
      <c r="Q8" s="5" cm="1">
        <f t="array" ref="Q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660.08039999999994</v>
      </c>
      <c r="R8" s="4">
        <f ca="1">MAX(0,TODAY()-PipelineTable[[#This Row],[LastContactDate]]-14)</f>
        <v>251</v>
      </c>
    </row>
    <row r="9" spans="1:21">
      <c r="A9" t="s">
        <v>66</v>
      </c>
      <c r="B9" t="s">
        <v>67</v>
      </c>
      <c r="C9" t="s">
        <v>31</v>
      </c>
      <c r="D9" t="s">
        <v>22</v>
      </c>
      <c r="E9" s="1">
        <v>45695</v>
      </c>
      <c r="F9" s="2">
        <v>0.21</v>
      </c>
      <c r="G9" t="s">
        <v>33</v>
      </c>
      <c r="H9" s="3">
        <v>45889</v>
      </c>
      <c r="I9" t="s">
        <v>68</v>
      </c>
      <c r="J9" s="4">
        <v>7</v>
      </c>
      <c r="K9" t="s">
        <v>35</v>
      </c>
      <c r="M9" t="s">
        <v>26</v>
      </c>
      <c r="N9" t="s">
        <v>44</v>
      </c>
      <c r="O9" s="1">
        <f>PipelineTable[[#This Row],[DealValue]]*PipelineTable[[#This Row],[Probability]]</f>
        <v>9595.9499999999989</v>
      </c>
      <c r="P9" s="1" cm="1">
        <f t="array" ref="P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952.38095238095241</v>
      </c>
      <c r="Q9" s="5" cm="1">
        <f t="array" ref="Q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47.979749999999996</v>
      </c>
      <c r="R9" s="4">
        <f ca="1">MAX(0,TODAY()-PipelineTable[[#This Row],[LastContactDate]]-14)</f>
        <v>137</v>
      </c>
    </row>
    <row r="10" spans="1:21">
      <c r="A10" t="s">
        <v>69</v>
      </c>
      <c r="B10" t="s">
        <v>70</v>
      </c>
      <c r="C10" t="s">
        <v>31</v>
      </c>
      <c r="D10" t="s">
        <v>40</v>
      </c>
      <c r="E10" s="1">
        <v>228762</v>
      </c>
      <c r="F10" s="2">
        <v>0.41</v>
      </c>
      <c r="G10" t="s">
        <v>23</v>
      </c>
      <c r="H10" s="3">
        <v>45690</v>
      </c>
      <c r="I10" t="s">
        <v>42</v>
      </c>
      <c r="J10" s="4">
        <v>35</v>
      </c>
      <c r="K10" t="s">
        <v>56</v>
      </c>
      <c r="M10" t="s">
        <v>36</v>
      </c>
      <c r="N10" t="s">
        <v>27</v>
      </c>
      <c r="O10" s="1">
        <f>PipelineTable[[#This Row],[DealValue]]*PipelineTable[[#This Row],[Probability]]</f>
        <v>93792.42</v>
      </c>
      <c r="P10" s="1" cm="1">
        <f t="array" ref="P1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731.70731707317077</v>
      </c>
      <c r="Q10" s="5" cm="1">
        <f t="array" ref="Q1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312.64139999999998</v>
      </c>
      <c r="R10" s="4">
        <f ca="1">MAX(0,TODAY()-PipelineTable[[#This Row],[LastContactDate]]-14)</f>
        <v>336</v>
      </c>
    </row>
    <row r="11" spans="1:21">
      <c r="A11" t="s">
        <v>71</v>
      </c>
      <c r="B11" t="s">
        <v>72</v>
      </c>
      <c r="C11" t="s">
        <v>73</v>
      </c>
      <c r="D11" t="s">
        <v>74</v>
      </c>
      <c r="E11" s="1">
        <v>21292</v>
      </c>
      <c r="F11" s="2">
        <v>1</v>
      </c>
      <c r="G11" t="s">
        <v>41</v>
      </c>
      <c r="H11" s="3">
        <v>45783</v>
      </c>
      <c r="I11" t="s">
        <v>75</v>
      </c>
      <c r="J11" s="4">
        <v>50</v>
      </c>
      <c r="K11" t="s">
        <v>35</v>
      </c>
      <c r="M11" t="s">
        <v>36</v>
      </c>
      <c r="N11" t="s">
        <v>28</v>
      </c>
      <c r="O11" s="1">
        <f>PipelineTable[[#This Row],[DealValue]]*PipelineTable[[#This Row],[Probability]]</f>
        <v>21292</v>
      </c>
      <c r="P11" s="1" cm="1">
        <f t="array" ref="P1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150</v>
      </c>
      <c r="Q11" s="5" cm="1">
        <f t="array" ref="Q1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141.94666666666666</v>
      </c>
      <c r="R11" s="4">
        <f ca="1">MAX(0,TODAY()-PipelineTable[[#This Row],[LastContactDate]]-14)</f>
        <v>243</v>
      </c>
    </row>
    <row r="12" spans="1:21">
      <c r="A12" t="s">
        <v>76</v>
      </c>
      <c r="B12" t="s">
        <v>77</v>
      </c>
      <c r="C12" t="s">
        <v>21</v>
      </c>
      <c r="D12" t="s">
        <v>78</v>
      </c>
      <c r="E12" s="1">
        <v>23185</v>
      </c>
      <c r="F12" s="2">
        <v>0.18</v>
      </c>
      <c r="G12" t="s">
        <v>54</v>
      </c>
      <c r="H12" s="3">
        <v>45906</v>
      </c>
      <c r="J12" s="4">
        <v>31</v>
      </c>
      <c r="L12" t="s">
        <v>79</v>
      </c>
      <c r="M12" t="s">
        <v>36</v>
      </c>
      <c r="N12" t="s">
        <v>44</v>
      </c>
      <c r="O12" s="1">
        <f>PipelineTable[[#This Row],[DealValue]]*PipelineTable[[#This Row],[Probability]]</f>
        <v>4173.3</v>
      </c>
      <c r="P12" s="1" cm="1">
        <f t="array" ref="P1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1111.1111111111111</v>
      </c>
      <c r="Q12" s="5" cm="1">
        <f t="array" ref="Q1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20.866500000000002</v>
      </c>
      <c r="R12" s="4">
        <f ca="1">MAX(0,TODAY()-PipelineTable[[#This Row],[LastContactDate]]-14)</f>
        <v>120</v>
      </c>
    </row>
    <row r="13" spans="1:21">
      <c r="A13" t="s">
        <v>80</v>
      </c>
      <c r="B13" t="s">
        <v>81</v>
      </c>
      <c r="C13" t="s">
        <v>73</v>
      </c>
      <c r="D13" t="s">
        <v>40</v>
      </c>
      <c r="E13" s="1">
        <v>17139</v>
      </c>
      <c r="F13" s="2">
        <v>0.62</v>
      </c>
      <c r="G13" t="s">
        <v>82</v>
      </c>
      <c r="H13" s="3">
        <v>45682</v>
      </c>
      <c r="I13" t="s">
        <v>83</v>
      </c>
      <c r="J13" s="4">
        <v>37</v>
      </c>
      <c r="K13" t="s">
        <v>25</v>
      </c>
      <c r="M13" t="s">
        <v>36</v>
      </c>
      <c r="N13" t="s">
        <v>37</v>
      </c>
      <c r="O13" s="1">
        <f>PipelineTable[[#This Row],[DealValue]]*PipelineTable[[#This Row],[Probability]]</f>
        <v>10626.18</v>
      </c>
      <c r="P13" s="1" cm="1">
        <f t="array" ref="P1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161.29032258064515</v>
      </c>
      <c r="Q13" s="5" cm="1">
        <f t="array" ref="Q1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106.26180000000001</v>
      </c>
      <c r="R13" s="4">
        <f ca="1">MAX(0,TODAY()-PipelineTable[[#This Row],[LastContactDate]]-14)</f>
        <v>344</v>
      </c>
    </row>
    <row r="14" spans="1:21">
      <c r="A14" t="s">
        <v>84</v>
      </c>
      <c r="B14" t="s">
        <v>85</v>
      </c>
      <c r="C14" t="s">
        <v>52</v>
      </c>
      <c r="D14" t="s">
        <v>22</v>
      </c>
      <c r="E14" s="1">
        <v>20653</v>
      </c>
      <c r="F14" s="2">
        <v>0.36</v>
      </c>
      <c r="G14" t="s">
        <v>60</v>
      </c>
      <c r="H14" s="3">
        <v>45708</v>
      </c>
      <c r="I14" t="s">
        <v>24</v>
      </c>
      <c r="J14" s="4">
        <v>25</v>
      </c>
      <c r="K14" t="s">
        <v>35</v>
      </c>
      <c r="M14" t="s">
        <v>49</v>
      </c>
      <c r="N14" t="s">
        <v>37</v>
      </c>
      <c r="O14" s="1">
        <f>PipelineTable[[#This Row],[DealValue]]*PipelineTable[[#This Row],[Probability]]</f>
        <v>7435.08</v>
      </c>
      <c r="P14" s="1" cm="1">
        <f t="array" ref="P1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277.77777777777777</v>
      </c>
      <c r="Q14" s="5" cm="1">
        <f t="array" ref="Q1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74.350799999999992</v>
      </c>
      <c r="R14" s="4">
        <f ca="1">MAX(0,TODAY()-PipelineTable[[#This Row],[LastContactDate]]-14)</f>
        <v>318</v>
      </c>
    </row>
    <row r="15" spans="1:21">
      <c r="A15" t="s">
        <v>86</v>
      </c>
      <c r="B15" t="s">
        <v>87</v>
      </c>
      <c r="C15" t="s">
        <v>57</v>
      </c>
      <c r="D15" t="s">
        <v>53</v>
      </c>
      <c r="E15" s="1">
        <v>22698</v>
      </c>
      <c r="F15" s="2">
        <v>0.74</v>
      </c>
      <c r="G15" t="s">
        <v>64</v>
      </c>
      <c r="H15" s="3">
        <v>45958</v>
      </c>
      <c r="I15" t="s">
        <v>88</v>
      </c>
      <c r="J15" s="4">
        <v>15</v>
      </c>
      <c r="K15" t="s">
        <v>61</v>
      </c>
      <c r="M15" t="s">
        <v>49</v>
      </c>
      <c r="N15" t="s">
        <v>44</v>
      </c>
      <c r="O15" s="1">
        <f>PipelineTable[[#This Row],[DealValue]]*PipelineTable[[#This Row],[Probability]]</f>
        <v>16796.52</v>
      </c>
      <c r="P15" s="1" cm="1">
        <f t="array" ref="P1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270.27027027027026</v>
      </c>
      <c r="Q15" s="5" cm="1">
        <f t="array" ref="Q1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83.982600000000005</v>
      </c>
      <c r="R15" s="4">
        <f ca="1">MAX(0,TODAY()-PipelineTable[[#This Row],[LastContactDate]]-14)</f>
        <v>68</v>
      </c>
    </row>
    <row r="16" spans="1:21">
      <c r="A16" t="s">
        <v>89</v>
      </c>
      <c r="B16" t="s">
        <v>90</v>
      </c>
      <c r="C16" t="s">
        <v>73</v>
      </c>
      <c r="D16" t="s">
        <v>32</v>
      </c>
      <c r="E16" s="1">
        <v>18848</v>
      </c>
      <c r="F16" s="2">
        <v>0.26</v>
      </c>
      <c r="G16" t="s">
        <v>54</v>
      </c>
      <c r="H16" s="3">
        <v>45706</v>
      </c>
      <c r="I16" t="s">
        <v>91</v>
      </c>
      <c r="J16" s="4">
        <v>1</v>
      </c>
      <c r="K16" t="s">
        <v>92</v>
      </c>
      <c r="M16" t="s">
        <v>36</v>
      </c>
      <c r="N16" t="s">
        <v>27</v>
      </c>
      <c r="O16" s="1">
        <f>PipelineTable[[#This Row],[DealValue]]*PipelineTable[[#This Row],[Probability]]</f>
        <v>4900.4800000000005</v>
      </c>
      <c r="P16" s="1" cm="1">
        <f t="array" ref="P1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1153.8461538461538</v>
      </c>
      <c r="Q16" s="5" cm="1">
        <f t="array" ref="Q1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16.334933333333336</v>
      </c>
      <c r="R16" s="4">
        <f ca="1">MAX(0,TODAY()-PipelineTable[[#This Row],[LastContactDate]]-14)</f>
        <v>320</v>
      </c>
    </row>
    <row r="17" spans="1:18">
      <c r="A17" t="s">
        <v>93</v>
      </c>
      <c r="B17" t="s">
        <v>94</v>
      </c>
      <c r="C17" t="s">
        <v>73</v>
      </c>
      <c r="D17" t="s">
        <v>32</v>
      </c>
      <c r="E17" s="1">
        <v>9590</v>
      </c>
      <c r="F17" s="2">
        <v>0.25</v>
      </c>
      <c r="G17" t="s">
        <v>54</v>
      </c>
      <c r="H17" s="3">
        <v>45849</v>
      </c>
      <c r="I17" t="s">
        <v>48</v>
      </c>
      <c r="J17" s="4">
        <v>18</v>
      </c>
      <c r="K17" t="s">
        <v>95</v>
      </c>
      <c r="M17" t="s">
        <v>36</v>
      </c>
      <c r="N17" t="s">
        <v>28</v>
      </c>
      <c r="O17" s="1">
        <f>PipelineTable[[#This Row],[DealValue]]*PipelineTable[[#This Row],[Probability]]</f>
        <v>2397.5</v>
      </c>
      <c r="P17" s="1" cm="1">
        <f t="array" ref="P1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600</v>
      </c>
      <c r="Q17" s="5" cm="1">
        <f t="array" ref="Q1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15.983333333333333</v>
      </c>
      <c r="R17" s="4">
        <f ca="1">MAX(0,TODAY()-PipelineTable[[#This Row],[LastContactDate]]-14)</f>
        <v>177</v>
      </c>
    </row>
    <row r="18" spans="1:18">
      <c r="A18" t="s">
        <v>96</v>
      </c>
      <c r="B18" t="s">
        <v>97</v>
      </c>
      <c r="C18" t="s">
        <v>52</v>
      </c>
      <c r="D18" t="s">
        <v>32</v>
      </c>
      <c r="E18" s="1">
        <v>2177</v>
      </c>
      <c r="F18" s="2">
        <v>0.21</v>
      </c>
      <c r="G18" t="s">
        <v>41</v>
      </c>
      <c r="H18" s="3">
        <v>45964</v>
      </c>
      <c r="I18" t="s">
        <v>91</v>
      </c>
      <c r="J18" s="4">
        <v>18</v>
      </c>
      <c r="K18" t="s">
        <v>98</v>
      </c>
      <c r="M18" t="s">
        <v>49</v>
      </c>
      <c r="N18" t="s">
        <v>44</v>
      </c>
      <c r="O18" s="1">
        <f>PipelineTable[[#This Row],[DealValue]]*PipelineTable[[#This Row],[Probability]]</f>
        <v>457.16999999999996</v>
      </c>
      <c r="P18" s="1" cm="1">
        <f t="array" ref="P1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952.38095238095241</v>
      </c>
      <c r="Q18" s="5" cm="1">
        <f t="array" ref="Q1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2.2858499999999999</v>
      </c>
      <c r="R18" s="4">
        <f ca="1">MAX(0,TODAY()-PipelineTable[[#This Row],[LastContactDate]]-14)</f>
        <v>62</v>
      </c>
    </row>
    <row r="19" spans="1:18">
      <c r="A19" t="s">
        <v>99</v>
      </c>
      <c r="B19" t="s">
        <v>100</v>
      </c>
      <c r="C19" t="s">
        <v>21</v>
      </c>
      <c r="D19" t="s">
        <v>22</v>
      </c>
      <c r="E19" s="1">
        <v>10879</v>
      </c>
      <c r="F19" s="2">
        <v>0.28999999999999998</v>
      </c>
      <c r="G19" t="s">
        <v>47</v>
      </c>
      <c r="H19" s="3">
        <v>45946</v>
      </c>
      <c r="I19" t="s">
        <v>101</v>
      </c>
      <c r="J19" s="4">
        <v>20</v>
      </c>
      <c r="K19" t="s">
        <v>102</v>
      </c>
      <c r="M19" t="s">
        <v>36</v>
      </c>
      <c r="N19" t="s">
        <v>27</v>
      </c>
      <c r="O19" s="1">
        <f>PipelineTable[[#This Row],[DealValue]]*PipelineTable[[#This Row],[Probability]]</f>
        <v>3154.91</v>
      </c>
      <c r="P19" s="1" cm="1">
        <f t="array" ref="P1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1034.4827586206898</v>
      </c>
      <c r="Q19" s="5" cm="1">
        <f t="array" ref="Q1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10.516366666666666</v>
      </c>
      <c r="R19" s="4">
        <f ca="1">MAX(0,TODAY()-PipelineTable[[#This Row],[LastContactDate]]-14)</f>
        <v>80</v>
      </c>
    </row>
    <row r="20" spans="1:18">
      <c r="A20" t="s">
        <v>103</v>
      </c>
      <c r="B20" t="s">
        <v>104</v>
      </c>
      <c r="C20" t="s">
        <v>31</v>
      </c>
      <c r="D20" t="s">
        <v>40</v>
      </c>
      <c r="E20" s="1">
        <v>23028</v>
      </c>
      <c r="F20" s="2">
        <v>0.6</v>
      </c>
      <c r="G20" t="s">
        <v>47</v>
      </c>
      <c r="H20" s="3">
        <v>45722</v>
      </c>
      <c r="J20" s="4">
        <v>7</v>
      </c>
      <c r="K20" t="s">
        <v>35</v>
      </c>
      <c r="M20" t="s">
        <v>26</v>
      </c>
      <c r="N20" t="s">
        <v>44</v>
      </c>
      <c r="O20" s="1">
        <f>PipelineTable[[#This Row],[DealValue]]*PipelineTable[[#This Row],[Probability]]</f>
        <v>13816.8</v>
      </c>
      <c r="P20" s="1" cm="1">
        <f t="array" ref="P2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333.33333333333337</v>
      </c>
      <c r="Q20" s="5" cm="1">
        <f t="array" ref="Q2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69.084000000000003</v>
      </c>
      <c r="R20" s="4">
        <f ca="1">MAX(0,TODAY()-PipelineTable[[#This Row],[LastContactDate]]-14)</f>
        <v>304</v>
      </c>
    </row>
    <row r="21" spans="1:18">
      <c r="A21" t="s">
        <v>105</v>
      </c>
      <c r="B21" t="s">
        <v>106</v>
      </c>
      <c r="C21" t="s">
        <v>73</v>
      </c>
      <c r="D21" t="s">
        <v>40</v>
      </c>
      <c r="E21" s="1">
        <v>14197</v>
      </c>
      <c r="F21" s="2">
        <v>0.4</v>
      </c>
      <c r="G21" t="s">
        <v>33</v>
      </c>
      <c r="H21" s="3">
        <v>45780</v>
      </c>
      <c r="I21" t="s">
        <v>107</v>
      </c>
      <c r="J21" s="4">
        <v>12</v>
      </c>
      <c r="K21" t="s">
        <v>61</v>
      </c>
      <c r="M21" t="s">
        <v>49</v>
      </c>
      <c r="N21" t="s">
        <v>44</v>
      </c>
      <c r="O21" s="1">
        <f>PipelineTable[[#This Row],[DealValue]]*PipelineTable[[#This Row],[Probability]]</f>
        <v>5678.8</v>
      </c>
      <c r="P21" s="1" cm="1">
        <f t="array" ref="P2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500</v>
      </c>
      <c r="Q21" s="5" cm="1">
        <f t="array" ref="Q2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28.394000000000002</v>
      </c>
      <c r="R21" s="4">
        <f ca="1">MAX(0,TODAY()-PipelineTable[[#This Row],[LastContactDate]]-14)</f>
        <v>246</v>
      </c>
    </row>
    <row r="22" spans="1:18">
      <c r="A22" t="s">
        <v>108</v>
      </c>
      <c r="B22" t="s">
        <v>109</v>
      </c>
      <c r="C22" t="s">
        <v>21</v>
      </c>
      <c r="D22" t="s">
        <v>74</v>
      </c>
      <c r="E22" s="1">
        <v>194123</v>
      </c>
      <c r="F22" s="2">
        <v>1</v>
      </c>
      <c r="G22" t="s">
        <v>60</v>
      </c>
      <c r="H22" s="3">
        <v>45909</v>
      </c>
      <c r="I22" t="s">
        <v>110</v>
      </c>
      <c r="J22" s="4">
        <v>70</v>
      </c>
      <c r="K22" t="s">
        <v>25</v>
      </c>
      <c r="M22" t="s">
        <v>49</v>
      </c>
      <c r="N22" t="s">
        <v>44</v>
      </c>
      <c r="O22" s="1">
        <f>PipelineTable[[#This Row],[DealValue]]*PipelineTable[[#This Row],[Probability]]</f>
        <v>194123</v>
      </c>
      <c r="P22" s="1" cm="1">
        <f t="array" ref="P2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200</v>
      </c>
      <c r="Q22" s="5" cm="1">
        <f t="array" ref="Q2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970.61500000000001</v>
      </c>
      <c r="R22" s="4">
        <f ca="1">MAX(0,TODAY()-PipelineTable[[#This Row],[LastContactDate]]-14)</f>
        <v>117</v>
      </c>
    </row>
    <row r="23" spans="1:18">
      <c r="A23" t="s">
        <v>111</v>
      </c>
      <c r="B23" t="s">
        <v>112</v>
      </c>
      <c r="C23" t="s">
        <v>31</v>
      </c>
      <c r="D23" t="s">
        <v>78</v>
      </c>
      <c r="E23" s="1">
        <v>51175</v>
      </c>
      <c r="F23" s="2">
        <v>0.05</v>
      </c>
      <c r="G23" t="s">
        <v>23</v>
      </c>
      <c r="H23" s="3">
        <v>45999</v>
      </c>
      <c r="I23" t="s">
        <v>113</v>
      </c>
      <c r="J23" s="4">
        <v>44</v>
      </c>
      <c r="K23" t="s">
        <v>25</v>
      </c>
      <c r="L23" t="s">
        <v>114</v>
      </c>
      <c r="M23" t="s">
        <v>36</v>
      </c>
      <c r="N23" t="s">
        <v>28</v>
      </c>
      <c r="O23" s="1">
        <f>PipelineTable[[#This Row],[DealValue]]*PipelineTable[[#This Row],[Probability]]</f>
        <v>2558.75</v>
      </c>
      <c r="P23" s="1" cm="1">
        <f t="array" ref="P2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3000</v>
      </c>
      <c r="Q23" s="5" cm="1">
        <f t="array" ref="Q2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17.058333333333334</v>
      </c>
      <c r="R23" s="4">
        <f ca="1">MAX(0,TODAY()-PipelineTable[[#This Row],[LastContactDate]]-14)</f>
        <v>27</v>
      </c>
    </row>
    <row r="24" spans="1:18">
      <c r="A24" t="s">
        <v>115</v>
      </c>
      <c r="B24" t="s">
        <v>116</v>
      </c>
      <c r="C24" t="s">
        <v>31</v>
      </c>
      <c r="D24" t="s">
        <v>22</v>
      </c>
      <c r="E24" s="1">
        <v>58957</v>
      </c>
      <c r="F24" s="2">
        <v>0.45</v>
      </c>
      <c r="G24" t="s">
        <v>54</v>
      </c>
      <c r="H24" s="3">
        <v>46006</v>
      </c>
      <c r="I24" t="s">
        <v>101</v>
      </c>
      <c r="J24" s="4">
        <v>28</v>
      </c>
      <c r="K24" t="s">
        <v>56</v>
      </c>
      <c r="M24" t="s">
        <v>36</v>
      </c>
      <c r="N24" t="s">
        <v>44</v>
      </c>
      <c r="O24" s="1">
        <f>PipelineTable[[#This Row],[DealValue]]*PipelineTable[[#This Row],[Probability]]</f>
        <v>26530.65</v>
      </c>
      <c r="P24" s="1" cm="1">
        <f t="array" ref="P2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444.44444444444446</v>
      </c>
      <c r="Q24" s="5" cm="1">
        <f t="array" ref="Q2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132.65325000000001</v>
      </c>
      <c r="R24" s="4">
        <f ca="1">MAX(0,TODAY()-PipelineTable[[#This Row],[LastContactDate]]-14)</f>
        <v>20</v>
      </c>
    </row>
    <row r="25" spans="1:18">
      <c r="A25" t="s">
        <v>115</v>
      </c>
      <c r="B25" t="s">
        <v>117</v>
      </c>
      <c r="C25" t="s">
        <v>57</v>
      </c>
      <c r="D25" t="s">
        <v>40</v>
      </c>
      <c r="E25" s="1">
        <v>6270</v>
      </c>
      <c r="F25" s="2">
        <v>0.53</v>
      </c>
      <c r="G25" t="s">
        <v>82</v>
      </c>
      <c r="H25" s="3">
        <v>45736</v>
      </c>
      <c r="I25" t="s">
        <v>42</v>
      </c>
      <c r="J25" s="4">
        <v>39</v>
      </c>
      <c r="K25" t="s">
        <v>43</v>
      </c>
      <c r="M25" t="s">
        <v>26</v>
      </c>
      <c r="N25" t="s">
        <v>27</v>
      </c>
      <c r="O25" s="1">
        <f>PipelineTable[[#This Row],[DealValue]]*PipelineTable[[#This Row],[Probability]]</f>
        <v>3323.1000000000004</v>
      </c>
      <c r="P25" s="1" cm="1">
        <f t="array" ref="P2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566.03773584905662</v>
      </c>
      <c r="Q25" s="5" cm="1">
        <f t="array" ref="Q2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11.077000000000002</v>
      </c>
      <c r="R25" s="4">
        <f ca="1">MAX(0,TODAY()-PipelineTable[[#This Row],[LastContactDate]]-14)</f>
        <v>290</v>
      </c>
    </row>
    <row r="26" spans="1:18">
      <c r="A26" t="s">
        <v>118</v>
      </c>
      <c r="B26" t="s">
        <v>119</v>
      </c>
      <c r="C26" t="s">
        <v>21</v>
      </c>
      <c r="D26" t="s">
        <v>78</v>
      </c>
      <c r="E26" s="1">
        <v>4285</v>
      </c>
      <c r="F26" s="2">
        <v>7.0000000000000007E-2</v>
      </c>
      <c r="G26" t="s">
        <v>82</v>
      </c>
      <c r="H26" s="3">
        <v>45847</v>
      </c>
      <c r="I26" t="s">
        <v>113</v>
      </c>
      <c r="J26" s="4">
        <v>25</v>
      </c>
      <c r="K26" t="s">
        <v>43</v>
      </c>
      <c r="L26" t="s">
        <v>79</v>
      </c>
      <c r="M26" t="s">
        <v>26</v>
      </c>
      <c r="N26" t="s">
        <v>28</v>
      </c>
      <c r="O26" s="1">
        <f>PipelineTable[[#This Row],[DealValue]]*PipelineTable[[#This Row],[Probability]]</f>
        <v>299.95000000000005</v>
      </c>
      <c r="P26" s="1" cm="1">
        <f t="array" ref="P2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2142.8571428571427</v>
      </c>
      <c r="Q26" s="5" cm="1">
        <f t="array" ref="Q2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1.9996666666666669</v>
      </c>
      <c r="R26" s="4">
        <f ca="1">MAX(0,TODAY()-PipelineTable[[#This Row],[LastContactDate]]-14)</f>
        <v>179</v>
      </c>
    </row>
    <row r="27" spans="1:18">
      <c r="A27" t="s">
        <v>120</v>
      </c>
      <c r="B27" t="s">
        <v>121</v>
      </c>
      <c r="C27" t="s">
        <v>57</v>
      </c>
      <c r="D27" t="s">
        <v>32</v>
      </c>
      <c r="E27" s="1">
        <v>213982</v>
      </c>
      <c r="F27" s="2">
        <v>0.3</v>
      </c>
      <c r="G27" t="s">
        <v>82</v>
      </c>
      <c r="H27" s="3">
        <v>45753</v>
      </c>
      <c r="I27" t="s">
        <v>34</v>
      </c>
      <c r="J27" s="4">
        <v>20</v>
      </c>
      <c r="K27" t="s">
        <v>43</v>
      </c>
      <c r="M27" t="s">
        <v>36</v>
      </c>
      <c r="N27" t="s">
        <v>37</v>
      </c>
      <c r="O27" s="1">
        <f>PipelineTable[[#This Row],[DealValue]]*PipelineTable[[#This Row],[Probability]]</f>
        <v>64194.6</v>
      </c>
      <c r="P27" s="1" cm="1">
        <f t="array" ref="P2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333.33333333333337</v>
      </c>
      <c r="Q27" s="5" cm="1">
        <f t="array" ref="Q2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641.94600000000003</v>
      </c>
      <c r="R27" s="4">
        <f ca="1">MAX(0,TODAY()-PipelineTable[[#This Row],[LastContactDate]]-14)</f>
        <v>273</v>
      </c>
    </row>
    <row r="28" spans="1:18">
      <c r="A28" t="s">
        <v>122</v>
      </c>
      <c r="B28" t="s">
        <v>123</v>
      </c>
      <c r="C28" t="s">
        <v>57</v>
      </c>
      <c r="D28" t="s">
        <v>32</v>
      </c>
      <c r="E28" s="1">
        <v>16927</v>
      </c>
      <c r="F28" s="2">
        <v>0.1</v>
      </c>
      <c r="G28" t="s">
        <v>41</v>
      </c>
      <c r="H28" s="3">
        <v>45835</v>
      </c>
      <c r="I28" t="s">
        <v>34</v>
      </c>
      <c r="J28" s="4">
        <v>17</v>
      </c>
      <c r="K28" t="s">
        <v>56</v>
      </c>
      <c r="M28" t="s">
        <v>49</v>
      </c>
      <c r="N28" t="s">
        <v>37</v>
      </c>
      <c r="O28" s="1">
        <f>PipelineTable[[#This Row],[DealValue]]*PipelineTable[[#This Row],[Probability]]</f>
        <v>1692.7</v>
      </c>
      <c r="P28" s="1" cm="1">
        <f t="array" ref="P2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1000</v>
      </c>
      <c r="Q28" s="5" cm="1">
        <f t="array" ref="Q2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16.927</v>
      </c>
      <c r="R28" s="4">
        <f ca="1">MAX(0,TODAY()-PipelineTable[[#This Row],[LastContactDate]]-14)</f>
        <v>191</v>
      </c>
    </row>
    <row r="29" spans="1:18">
      <c r="A29" t="s">
        <v>124</v>
      </c>
      <c r="B29" t="s">
        <v>125</v>
      </c>
      <c r="C29" t="s">
        <v>126</v>
      </c>
      <c r="D29" t="s">
        <v>22</v>
      </c>
      <c r="E29" s="1">
        <v>21370</v>
      </c>
      <c r="F29" s="2">
        <v>0.42</v>
      </c>
      <c r="G29" t="s">
        <v>64</v>
      </c>
      <c r="H29" s="3">
        <v>45864</v>
      </c>
      <c r="I29" t="s">
        <v>24</v>
      </c>
      <c r="J29" s="4">
        <v>26</v>
      </c>
      <c r="K29" t="s">
        <v>92</v>
      </c>
      <c r="M29" t="s">
        <v>26</v>
      </c>
      <c r="N29" t="s">
        <v>37</v>
      </c>
      <c r="O29" s="1">
        <f>PipelineTable[[#This Row],[DealValue]]*PipelineTable[[#This Row],[Probability]]</f>
        <v>8975.4</v>
      </c>
      <c r="P29" s="1" cm="1">
        <f t="array" ref="P2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238.0952380952381</v>
      </c>
      <c r="Q29" s="5" cm="1">
        <f t="array" ref="Q2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89.753999999999991</v>
      </c>
      <c r="R29" s="4">
        <f ca="1">MAX(0,TODAY()-PipelineTable[[#This Row],[LastContactDate]]-14)</f>
        <v>162</v>
      </c>
    </row>
    <row r="30" spans="1:18">
      <c r="A30" t="s">
        <v>127</v>
      </c>
      <c r="B30" t="s">
        <v>128</v>
      </c>
      <c r="C30" t="s">
        <v>52</v>
      </c>
      <c r="D30" t="s">
        <v>22</v>
      </c>
      <c r="E30" s="1">
        <v>17561</v>
      </c>
      <c r="F30" s="2">
        <v>0.34</v>
      </c>
      <c r="G30" t="s">
        <v>41</v>
      </c>
      <c r="H30" s="3">
        <v>45829</v>
      </c>
      <c r="I30" t="s">
        <v>101</v>
      </c>
      <c r="J30" s="4">
        <v>8</v>
      </c>
      <c r="K30" t="s">
        <v>56</v>
      </c>
      <c r="M30" t="s">
        <v>49</v>
      </c>
      <c r="N30" t="s">
        <v>28</v>
      </c>
      <c r="O30" s="1">
        <f>PipelineTable[[#This Row],[DealValue]]*PipelineTable[[#This Row],[Probability]]</f>
        <v>5970.7400000000007</v>
      </c>
      <c r="P30" s="1" cm="1">
        <f t="array" ref="P3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441.17647058823525</v>
      </c>
      <c r="Q30" s="5" cm="1">
        <f t="array" ref="Q3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39.804933333333338</v>
      </c>
      <c r="R30" s="4">
        <f ca="1">MAX(0,TODAY()-PipelineTable[[#This Row],[LastContactDate]]-14)</f>
        <v>197</v>
      </c>
    </row>
    <row r="31" spans="1:18">
      <c r="A31" t="s">
        <v>129</v>
      </c>
      <c r="B31" t="s">
        <v>130</v>
      </c>
      <c r="C31" t="s">
        <v>73</v>
      </c>
      <c r="D31" t="s">
        <v>40</v>
      </c>
      <c r="E31" s="1">
        <v>208656</v>
      </c>
      <c r="F31" s="2">
        <v>0.59</v>
      </c>
      <c r="G31" t="s">
        <v>64</v>
      </c>
      <c r="H31" s="3">
        <v>45847</v>
      </c>
      <c r="I31" t="s">
        <v>131</v>
      </c>
      <c r="J31" s="4">
        <v>29</v>
      </c>
      <c r="K31" t="s">
        <v>61</v>
      </c>
      <c r="M31" t="s">
        <v>49</v>
      </c>
      <c r="N31" t="s">
        <v>27</v>
      </c>
      <c r="O31" s="1">
        <f>PipelineTable[[#This Row],[DealValue]]*PipelineTable[[#This Row],[Probability]]</f>
        <v>123107.04</v>
      </c>
      <c r="P31" s="1" cm="1">
        <f t="array" ref="P3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508.47457627118649</v>
      </c>
      <c r="Q31" s="5" cm="1">
        <f t="array" ref="Q3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410.35679999999996</v>
      </c>
      <c r="R31" s="4">
        <f ca="1">MAX(0,TODAY()-PipelineTable[[#This Row],[LastContactDate]]-14)</f>
        <v>179</v>
      </c>
    </row>
    <row r="32" spans="1:18">
      <c r="A32" t="s">
        <v>132</v>
      </c>
      <c r="B32" t="s">
        <v>133</v>
      </c>
      <c r="C32" t="s">
        <v>126</v>
      </c>
      <c r="D32" t="s">
        <v>40</v>
      </c>
      <c r="E32" s="1">
        <v>19241</v>
      </c>
      <c r="F32" s="2">
        <v>0.56999999999999995</v>
      </c>
      <c r="G32" t="s">
        <v>82</v>
      </c>
      <c r="H32" s="3">
        <v>45854</v>
      </c>
      <c r="I32" t="s">
        <v>83</v>
      </c>
      <c r="J32" s="4">
        <v>33</v>
      </c>
      <c r="K32" t="s">
        <v>95</v>
      </c>
      <c r="M32" t="s">
        <v>36</v>
      </c>
      <c r="N32" t="s">
        <v>44</v>
      </c>
      <c r="O32" s="1">
        <f>PipelineTable[[#This Row],[DealValue]]*PipelineTable[[#This Row],[Probability]]</f>
        <v>10967.369999999999</v>
      </c>
      <c r="P32" s="1" cm="1">
        <f t="array" ref="P3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350.87719298245617</v>
      </c>
      <c r="Q32" s="5" cm="1">
        <f t="array" ref="Q3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54.836849999999998</v>
      </c>
      <c r="R32" s="4">
        <f ca="1">MAX(0,TODAY()-PipelineTable[[#This Row],[LastContactDate]]-14)</f>
        <v>172</v>
      </c>
    </row>
    <row r="33" spans="1:18">
      <c r="A33" t="s">
        <v>134</v>
      </c>
      <c r="B33" t="s">
        <v>135</v>
      </c>
      <c r="C33" t="s">
        <v>21</v>
      </c>
      <c r="D33" t="s">
        <v>74</v>
      </c>
      <c r="E33" s="1">
        <v>158709</v>
      </c>
      <c r="F33" s="2">
        <v>1</v>
      </c>
      <c r="G33" t="s">
        <v>33</v>
      </c>
      <c r="H33" s="3">
        <v>45746</v>
      </c>
      <c r="I33" t="s">
        <v>136</v>
      </c>
      <c r="J33" s="4">
        <v>73</v>
      </c>
      <c r="M33" t="s">
        <v>36</v>
      </c>
      <c r="N33" t="s">
        <v>28</v>
      </c>
      <c r="O33" s="1">
        <f>PipelineTable[[#This Row],[DealValue]]*PipelineTable[[#This Row],[Probability]]</f>
        <v>158709</v>
      </c>
      <c r="P33" s="1" cm="1">
        <f t="array" ref="P3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150</v>
      </c>
      <c r="Q33" s="5" cm="1">
        <f t="array" ref="Q3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1058.06</v>
      </c>
      <c r="R33" s="4">
        <f ca="1">MAX(0,TODAY()-PipelineTable[[#This Row],[LastContactDate]]-14)</f>
        <v>280</v>
      </c>
    </row>
    <row r="34" spans="1:18">
      <c r="A34" t="s">
        <v>137</v>
      </c>
      <c r="B34" t="s">
        <v>138</v>
      </c>
      <c r="C34" t="s">
        <v>21</v>
      </c>
      <c r="D34" t="s">
        <v>22</v>
      </c>
      <c r="E34" s="1">
        <v>46860</v>
      </c>
      <c r="F34" s="2">
        <v>0.36</v>
      </c>
      <c r="G34" t="s">
        <v>64</v>
      </c>
      <c r="H34" s="3">
        <v>45815</v>
      </c>
      <c r="I34" t="s">
        <v>139</v>
      </c>
      <c r="J34" s="4">
        <v>28</v>
      </c>
      <c r="K34" t="s">
        <v>56</v>
      </c>
      <c r="M34" t="s">
        <v>26</v>
      </c>
      <c r="N34" t="s">
        <v>27</v>
      </c>
      <c r="O34" s="1">
        <f>PipelineTable[[#This Row],[DealValue]]*PipelineTable[[#This Row],[Probability]]</f>
        <v>16869.599999999999</v>
      </c>
      <c r="P34" s="1" cm="1">
        <f t="array" ref="P3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833.33333333333337</v>
      </c>
      <c r="Q34" s="5" cm="1">
        <f t="array" ref="Q3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56.231999999999992</v>
      </c>
      <c r="R34" s="4">
        <f ca="1">MAX(0,TODAY()-PipelineTable[[#This Row],[LastContactDate]]-14)</f>
        <v>211</v>
      </c>
    </row>
    <row r="35" spans="1:18">
      <c r="A35" t="s">
        <v>140</v>
      </c>
      <c r="B35" t="s">
        <v>141</v>
      </c>
      <c r="C35" t="s">
        <v>52</v>
      </c>
      <c r="D35" t="s">
        <v>22</v>
      </c>
      <c r="E35" s="1">
        <v>75855</v>
      </c>
      <c r="F35" s="2">
        <v>0.26</v>
      </c>
      <c r="G35" t="s">
        <v>60</v>
      </c>
      <c r="H35" s="3">
        <v>45723</v>
      </c>
      <c r="I35" t="s">
        <v>139</v>
      </c>
      <c r="J35" s="4">
        <v>17</v>
      </c>
      <c r="K35" t="s">
        <v>61</v>
      </c>
      <c r="M35" t="s">
        <v>49</v>
      </c>
      <c r="N35" t="s">
        <v>44</v>
      </c>
      <c r="O35" s="1">
        <f>PipelineTable[[#This Row],[DealValue]]*PipelineTable[[#This Row],[Probability]]</f>
        <v>19722.3</v>
      </c>
      <c r="P35" s="1" cm="1">
        <f t="array" ref="P3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769.23076923076917</v>
      </c>
      <c r="Q35" s="5" cm="1">
        <f t="array" ref="Q3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98.611499999999992</v>
      </c>
      <c r="R35" s="4">
        <f ca="1">MAX(0,TODAY()-PipelineTable[[#This Row],[LastContactDate]]-14)</f>
        <v>303</v>
      </c>
    </row>
    <row r="36" spans="1:18">
      <c r="A36" t="s">
        <v>142</v>
      </c>
      <c r="B36" t="s">
        <v>143</v>
      </c>
      <c r="C36" t="s">
        <v>21</v>
      </c>
      <c r="D36" t="s">
        <v>53</v>
      </c>
      <c r="E36" s="1">
        <v>12163</v>
      </c>
      <c r="F36" s="2">
        <v>0.61</v>
      </c>
      <c r="G36" t="s">
        <v>60</v>
      </c>
      <c r="H36" s="3">
        <v>45726</v>
      </c>
      <c r="I36" t="s">
        <v>88</v>
      </c>
      <c r="J36" s="4">
        <v>12</v>
      </c>
      <c r="K36" t="s">
        <v>43</v>
      </c>
      <c r="M36" t="s">
        <v>26</v>
      </c>
      <c r="N36" t="s">
        <v>28</v>
      </c>
      <c r="O36" s="1">
        <f>PipelineTable[[#This Row],[DealValue]]*PipelineTable[[#This Row],[Probability]]</f>
        <v>7419.43</v>
      </c>
      <c r="P36" s="1" cm="1">
        <f t="array" ref="P3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245.90163934426229</v>
      </c>
      <c r="Q36" s="5" cm="1">
        <f t="array" ref="Q3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49.46286666666667</v>
      </c>
      <c r="R36" s="4">
        <f ca="1">MAX(0,TODAY()-PipelineTable[[#This Row],[LastContactDate]]-14)</f>
        <v>300</v>
      </c>
    </row>
    <row r="37" spans="1:18">
      <c r="A37" t="s">
        <v>144</v>
      </c>
      <c r="B37" t="s">
        <v>145</v>
      </c>
      <c r="C37" t="s">
        <v>73</v>
      </c>
      <c r="D37" t="s">
        <v>22</v>
      </c>
      <c r="E37" s="1">
        <v>190680</v>
      </c>
      <c r="F37" s="2">
        <v>0.31</v>
      </c>
      <c r="G37" t="s">
        <v>41</v>
      </c>
      <c r="H37" s="3">
        <v>45797</v>
      </c>
      <c r="I37" t="s">
        <v>68</v>
      </c>
      <c r="J37" s="4">
        <v>13</v>
      </c>
      <c r="K37" t="s">
        <v>95</v>
      </c>
      <c r="M37" t="s">
        <v>36</v>
      </c>
      <c r="N37" t="s">
        <v>28</v>
      </c>
      <c r="O37" s="1">
        <f>PipelineTable[[#This Row],[DealValue]]*PipelineTable[[#This Row],[Probability]]</f>
        <v>59110.8</v>
      </c>
      <c r="P37" s="1" cm="1">
        <f t="array" ref="P3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483.87096774193549</v>
      </c>
      <c r="Q37" s="5" cm="1">
        <f t="array" ref="Q3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394.072</v>
      </c>
      <c r="R37" s="4">
        <f ca="1">MAX(0,TODAY()-PipelineTable[[#This Row],[LastContactDate]]-14)</f>
        <v>229</v>
      </c>
    </row>
    <row r="38" spans="1:18">
      <c r="A38" t="s">
        <v>146</v>
      </c>
      <c r="B38" t="s">
        <v>147</v>
      </c>
      <c r="C38" t="s">
        <v>21</v>
      </c>
      <c r="D38" t="s">
        <v>53</v>
      </c>
      <c r="E38" s="1">
        <v>23716</v>
      </c>
      <c r="F38" s="2">
        <v>0.7</v>
      </c>
      <c r="G38" t="s">
        <v>82</v>
      </c>
      <c r="H38" s="3">
        <v>45749</v>
      </c>
      <c r="I38" t="s">
        <v>148</v>
      </c>
      <c r="J38" s="4">
        <v>55</v>
      </c>
      <c r="K38" t="s">
        <v>35</v>
      </c>
      <c r="M38" t="s">
        <v>26</v>
      </c>
      <c r="N38" t="s">
        <v>28</v>
      </c>
      <c r="O38" s="1">
        <f>PipelineTable[[#This Row],[DealValue]]*PipelineTable[[#This Row],[Probability]]</f>
        <v>16601.2</v>
      </c>
      <c r="P38" s="1" cm="1">
        <f t="array" ref="P3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214.28571428571431</v>
      </c>
      <c r="Q38" s="5" cm="1">
        <f t="array" ref="Q3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110.67466666666667</v>
      </c>
      <c r="R38" s="4">
        <f ca="1">MAX(0,TODAY()-PipelineTable[[#This Row],[LastContactDate]]-14)</f>
        <v>277</v>
      </c>
    </row>
    <row r="39" spans="1:18">
      <c r="A39" t="s">
        <v>149</v>
      </c>
      <c r="B39" t="s">
        <v>150</v>
      </c>
      <c r="C39" t="s">
        <v>21</v>
      </c>
      <c r="D39" t="s">
        <v>40</v>
      </c>
      <c r="E39" s="1">
        <v>17956</v>
      </c>
      <c r="F39" s="2">
        <v>0.6</v>
      </c>
      <c r="G39" t="s">
        <v>41</v>
      </c>
      <c r="H39" s="3">
        <v>45993</v>
      </c>
      <c r="I39" t="s">
        <v>83</v>
      </c>
      <c r="J39" s="4">
        <v>35</v>
      </c>
      <c r="M39" t="s">
        <v>49</v>
      </c>
      <c r="N39" t="s">
        <v>37</v>
      </c>
      <c r="O39" s="1">
        <f>PipelineTable[[#This Row],[DealValue]]*PipelineTable[[#This Row],[Probability]]</f>
        <v>10773.6</v>
      </c>
      <c r="P39" s="1" cm="1">
        <f t="array" ref="P3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166.66666666666669</v>
      </c>
      <c r="Q39" s="5" cm="1">
        <f t="array" ref="Q3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107.736</v>
      </c>
      <c r="R39" s="4">
        <f ca="1">MAX(0,TODAY()-PipelineTable[[#This Row],[LastContactDate]]-14)</f>
        <v>33</v>
      </c>
    </row>
    <row r="40" spans="1:18">
      <c r="A40" t="s">
        <v>151</v>
      </c>
      <c r="B40" t="s">
        <v>152</v>
      </c>
      <c r="C40" t="s">
        <v>126</v>
      </c>
      <c r="D40" t="s">
        <v>22</v>
      </c>
      <c r="E40" s="1">
        <v>11034</v>
      </c>
      <c r="F40" s="2">
        <v>0.45</v>
      </c>
      <c r="G40" t="s">
        <v>23</v>
      </c>
      <c r="H40" s="3">
        <v>45662</v>
      </c>
      <c r="I40" t="s">
        <v>139</v>
      </c>
      <c r="J40" s="4">
        <v>24</v>
      </c>
      <c r="K40" t="s">
        <v>43</v>
      </c>
      <c r="M40" t="s">
        <v>26</v>
      </c>
      <c r="N40" t="s">
        <v>27</v>
      </c>
      <c r="O40" s="1">
        <f>PipelineTable[[#This Row],[DealValue]]*PipelineTable[[#This Row],[Probability]]</f>
        <v>4965.3</v>
      </c>
      <c r="P40" s="1" cm="1">
        <f t="array" ref="P4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666.66666666666663</v>
      </c>
      <c r="Q40" s="5" cm="1">
        <f t="array" ref="Q4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16.551000000000002</v>
      </c>
      <c r="R40" s="4">
        <f ca="1">MAX(0,TODAY()-PipelineTable[[#This Row],[LastContactDate]]-14)</f>
        <v>364</v>
      </c>
    </row>
    <row r="41" spans="1:18">
      <c r="A41" t="s">
        <v>153</v>
      </c>
      <c r="B41" t="s">
        <v>154</v>
      </c>
      <c r="C41" t="s">
        <v>31</v>
      </c>
      <c r="D41" t="s">
        <v>40</v>
      </c>
      <c r="E41" s="1">
        <v>361955</v>
      </c>
      <c r="F41" s="2">
        <v>0.54</v>
      </c>
      <c r="G41" t="s">
        <v>64</v>
      </c>
      <c r="H41" s="3">
        <v>45915</v>
      </c>
      <c r="I41" t="s">
        <v>131</v>
      </c>
      <c r="J41" s="4">
        <v>40</v>
      </c>
      <c r="K41" t="s">
        <v>25</v>
      </c>
      <c r="M41" t="s">
        <v>36</v>
      </c>
      <c r="N41" t="s">
        <v>27</v>
      </c>
      <c r="O41" s="1">
        <f>PipelineTable[[#This Row],[DealValue]]*PipelineTable[[#This Row],[Probability]]</f>
        <v>195455.7</v>
      </c>
      <c r="P41" s="1" cm="1">
        <f t="array" ref="P4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555.55555555555554</v>
      </c>
      <c r="Q41" s="5" cm="1">
        <f t="array" ref="Q4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651.51900000000001</v>
      </c>
      <c r="R41" s="4">
        <f ca="1">MAX(0,TODAY()-PipelineTable[[#This Row],[LastContactDate]]-14)</f>
        <v>111</v>
      </c>
    </row>
    <row r="42" spans="1:18">
      <c r="A42" t="s">
        <v>155</v>
      </c>
      <c r="B42" t="s">
        <v>81</v>
      </c>
      <c r="C42" t="s">
        <v>126</v>
      </c>
      <c r="D42" t="s">
        <v>22</v>
      </c>
      <c r="E42" s="1">
        <v>3078</v>
      </c>
      <c r="F42" s="2">
        <v>0.43</v>
      </c>
      <c r="G42" t="s">
        <v>33</v>
      </c>
      <c r="H42" s="3">
        <v>45787</v>
      </c>
      <c r="I42" t="s">
        <v>101</v>
      </c>
      <c r="J42" s="4">
        <v>25</v>
      </c>
      <c r="K42" t="s">
        <v>43</v>
      </c>
      <c r="M42" t="s">
        <v>26</v>
      </c>
      <c r="N42" t="s">
        <v>37</v>
      </c>
      <c r="O42" s="1">
        <f>PipelineTable[[#This Row],[DealValue]]*PipelineTable[[#This Row],[Probability]]</f>
        <v>1323.54</v>
      </c>
      <c r="P42" s="1" cm="1">
        <f t="array" ref="P4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232.55813953488374</v>
      </c>
      <c r="Q42" s="5" cm="1">
        <f t="array" ref="Q4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13.2354</v>
      </c>
      <c r="R42" s="4">
        <f ca="1">MAX(0,TODAY()-PipelineTable[[#This Row],[LastContactDate]]-14)</f>
        <v>239</v>
      </c>
    </row>
    <row r="43" spans="1:18">
      <c r="A43" t="s">
        <v>156</v>
      </c>
      <c r="B43" t="s">
        <v>157</v>
      </c>
      <c r="C43" t="s">
        <v>21</v>
      </c>
      <c r="D43" t="s">
        <v>53</v>
      </c>
      <c r="E43" s="1">
        <v>18191</v>
      </c>
      <c r="F43" s="2">
        <v>0.72</v>
      </c>
      <c r="G43" t="s">
        <v>82</v>
      </c>
      <c r="H43" s="3">
        <v>45912</v>
      </c>
      <c r="I43" t="s">
        <v>158</v>
      </c>
      <c r="J43" s="4">
        <v>35</v>
      </c>
      <c r="M43" t="s">
        <v>36</v>
      </c>
      <c r="N43" t="s">
        <v>27</v>
      </c>
      <c r="O43" s="1">
        <f>PipelineTable[[#This Row],[DealValue]]*PipelineTable[[#This Row],[Probability]]</f>
        <v>13097.519999999999</v>
      </c>
      <c r="P43" s="1" cm="1">
        <f t="array" ref="P4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416.66666666666669</v>
      </c>
      <c r="Q43" s="5" cm="1">
        <f t="array" ref="Q4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43.658399999999993</v>
      </c>
      <c r="R43" s="4">
        <f ca="1">MAX(0,TODAY()-PipelineTable[[#This Row],[LastContactDate]]-14)</f>
        <v>114</v>
      </c>
    </row>
    <row r="44" spans="1:18">
      <c r="A44" t="s">
        <v>159</v>
      </c>
      <c r="B44" t="s">
        <v>160</v>
      </c>
      <c r="C44" t="s">
        <v>52</v>
      </c>
      <c r="D44" t="s">
        <v>40</v>
      </c>
      <c r="E44" s="1">
        <v>248838</v>
      </c>
      <c r="F44" s="2">
        <v>0.51</v>
      </c>
      <c r="G44" t="s">
        <v>23</v>
      </c>
      <c r="H44" s="3">
        <v>45831</v>
      </c>
      <c r="I44" t="s">
        <v>161</v>
      </c>
      <c r="J44" s="4">
        <v>27</v>
      </c>
      <c r="K44" t="s">
        <v>95</v>
      </c>
      <c r="M44" t="s">
        <v>36</v>
      </c>
      <c r="N44" t="s">
        <v>27</v>
      </c>
      <c r="O44" s="1">
        <f>PipelineTable[[#This Row],[DealValue]]*PipelineTable[[#This Row],[Probability]]</f>
        <v>126907.38</v>
      </c>
      <c r="P44" s="1" cm="1">
        <f t="array" ref="P4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588.23529411764707</v>
      </c>
      <c r="Q44" s="5" cm="1">
        <f t="array" ref="Q4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423.02460000000002</v>
      </c>
      <c r="R44" s="4">
        <f ca="1">MAX(0,TODAY()-PipelineTable[[#This Row],[LastContactDate]]-14)</f>
        <v>195</v>
      </c>
    </row>
    <row r="45" spans="1:18">
      <c r="A45" t="s">
        <v>162</v>
      </c>
      <c r="B45" t="s">
        <v>163</v>
      </c>
      <c r="C45" t="s">
        <v>73</v>
      </c>
      <c r="D45" t="s">
        <v>78</v>
      </c>
      <c r="E45" s="1">
        <v>2632</v>
      </c>
      <c r="F45" s="2">
        <v>0.1</v>
      </c>
      <c r="G45" t="s">
        <v>41</v>
      </c>
      <c r="H45" s="3">
        <v>45999</v>
      </c>
      <c r="I45" t="s">
        <v>164</v>
      </c>
      <c r="J45" s="4">
        <v>18</v>
      </c>
      <c r="K45" t="s">
        <v>35</v>
      </c>
      <c r="L45" t="s">
        <v>114</v>
      </c>
      <c r="M45" t="s">
        <v>36</v>
      </c>
      <c r="N45" t="s">
        <v>44</v>
      </c>
      <c r="O45" s="1">
        <f>PipelineTable[[#This Row],[DealValue]]*PipelineTable[[#This Row],[Probability]]</f>
        <v>263.2</v>
      </c>
      <c r="P45" s="1" cm="1">
        <f t="array" ref="P4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2000</v>
      </c>
      <c r="Q45" s="5" cm="1">
        <f t="array" ref="Q4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1.3159999999999998</v>
      </c>
      <c r="R45" s="4">
        <f ca="1">MAX(0,TODAY()-PipelineTable[[#This Row],[LastContactDate]]-14)</f>
        <v>27</v>
      </c>
    </row>
    <row r="46" spans="1:18">
      <c r="A46" t="s">
        <v>165</v>
      </c>
      <c r="B46" t="s">
        <v>166</v>
      </c>
      <c r="C46" t="s">
        <v>57</v>
      </c>
      <c r="D46" t="s">
        <v>74</v>
      </c>
      <c r="E46" s="1">
        <v>76320</v>
      </c>
      <c r="F46" s="2">
        <v>1</v>
      </c>
      <c r="G46" t="s">
        <v>60</v>
      </c>
      <c r="H46" s="3">
        <v>45699</v>
      </c>
      <c r="I46" t="s">
        <v>75</v>
      </c>
      <c r="J46" s="4">
        <v>60</v>
      </c>
      <c r="K46" t="s">
        <v>92</v>
      </c>
      <c r="M46" t="s">
        <v>36</v>
      </c>
      <c r="N46" t="s">
        <v>37</v>
      </c>
      <c r="O46" s="1">
        <f>PipelineTable[[#This Row],[DealValue]]*PipelineTable[[#This Row],[Probability]]</f>
        <v>76320</v>
      </c>
      <c r="P46" s="1" cm="1">
        <f t="array" ref="P4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100</v>
      </c>
      <c r="Q46" s="5" cm="1">
        <f t="array" ref="Q4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763.2</v>
      </c>
      <c r="R46" s="4">
        <f ca="1">MAX(0,TODAY()-PipelineTable[[#This Row],[LastContactDate]]-14)</f>
        <v>327</v>
      </c>
    </row>
    <row r="47" spans="1:18">
      <c r="A47" t="s">
        <v>167</v>
      </c>
      <c r="B47" t="s">
        <v>168</v>
      </c>
      <c r="C47" t="s">
        <v>52</v>
      </c>
      <c r="D47" t="s">
        <v>74</v>
      </c>
      <c r="E47" s="1">
        <v>20504</v>
      </c>
      <c r="F47" s="2">
        <v>1</v>
      </c>
      <c r="G47" t="s">
        <v>60</v>
      </c>
      <c r="H47" s="3">
        <v>46002</v>
      </c>
      <c r="I47" t="s">
        <v>110</v>
      </c>
      <c r="J47" s="4">
        <v>55</v>
      </c>
      <c r="K47" t="s">
        <v>98</v>
      </c>
      <c r="M47" t="s">
        <v>36</v>
      </c>
      <c r="N47" t="s">
        <v>37</v>
      </c>
      <c r="O47" s="1">
        <f>PipelineTable[[#This Row],[DealValue]]*PipelineTable[[#This Row],[Probability]]</f>
        <v>20504</v>
      </c>
      <c r="P47" s="1" cm="1">
        <f t="array" ref="P4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100</v>
      </c>
      <c r="Q47" s="5" cm="1">
        <f t="array" ref="Q4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205.04</v>
      </c>
      <c r="R47" s="4">
        <f ca="1">MAX(0,TODAY()-PipelineTable[[#This Row],[LastContactDate]]-14)</f>
        <v>24</v>
      </c>
    </row>
    <row r="48" spans="1:18">
      <c r="A48" t="s">
        <v>169</v>
      </c>
      <c r="B48" t="s">
        <v>170</v>
      </c>
      <c r="C48" t="s">
        <v>57</v>
      </c>
      <c r="D48" t="s">
        <v>32</v>
      </c>
      <c r="E48" s="1">
        <v>21799</v>
      </c>
      <c r="F48" s="2">
        <v>0.16</v>
      </c>
      <c r="G48" t="s">
        <v>47</v>
      </c>
      <c r="H48" s="3">
        <v>45823</v>
      </c>
      <c r="I48" t="s">
        <v>171</v>
      </c>
      <c r="J48" s="4">
        <v>17</v>
      </c>
      <c r="K48" t="s">
        <v>56</v>
      </c>
      <c r="M48" t="s">
        <v>36</v>
      </c>
      <c r="N48" t="s">
        <v>37</v>
      </c>
      <c r="O48" s="1">
        <f>PipelineTable[[#This Row],[DealValue]]*PipelineTable[[#This Row],[Probability]]</f>
        <v>3487.84</v>
      </c>
      <c r="P48" s="1" cm="1">
        <f t="array" ref="P4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625</v>
      </c>
      <c r="Q48" s="5" cm="1">
        <f t="array" ref="Q4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34.878399999999999</v>
      </c>
      <c r="R48" s="4">
        <f ca="1">MAX(0,TODAY()-PipelineTable[[#This Row],[LastContactDate]]-14)</f>
        <v>203</v>
      </c>
    </row>
    <row r="49" spans="1:18">
      <c r="A49" t="s">
        <v>127</v>
      </c>
      <c r="B49" t="s">
        <v>172</v>
      </c>
      <c r="C49" t="s">
        <v>52</v>
      </c>
      <c r="D49" t="s">
        <v>53</v>
      </c>
      <c r="E49" s="1">
        <v>197589</v>
      </c>
      <c r="F49" s="2">
        <v>0.76</v>
      </c>
      <c r="G49" t="s">
        <v>82</v>
      </c>
      <c r="H49" s="3">
        <v>45845</v>
      </c>
      <c r="I49" t="s">
        <v>148</v>
      </c>
      <c r="J49" s="4">
        <v>27</v>
      </c>
      <c r="K49" t="s">
        <v>95</v>
      </c>
      <c r="M49" t="s">
        <v>49</v>
      </c>
      <c r="N49" t="s">
        <v>37</v>
      </c>
      <c r="O49" s="1">
        <f>PipelineTable[[#This Row],[DealValue]]*PipelineTable[[#This Row],[Probability]]</f>
        <v>150167.64000000001</v>
      </c>
      <c r="P49" s="1" cm="1">
        <f t="array" ref="P4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131.57894736842104</v>
      </c>
      <c r="Q49" s="5" cm="1">
        <f t="array" ref="Q4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1501.6764000000001</v>
      </c>
      <c r="R49" s="4">
        <f ca="1">MAX(0,TODAY()-PipelineTable[[#This Row],[LastContactDate]]-14)</f>
        <v>181</v>
      </c>
    </row>
    <row r="50" spans="1:18">
      <c r="A50" t="s">
        <v>173</v>
      </c>
      <c r="B50" t="s">
        <v>174</v>
      </c>
      <c r="C50" t="s">
        <v>73</v>
      </c>
      <c r="D50" t="s">
        <v>32</v>
      </c>
      <c r="E50" s="1">
        <v>50829</v>
      </c>
      <c r="F50" s="2">
        <v>0.25</v>
      </c>
      <c r="G50" t="s">
        <v>33</v>
      </c>
      <c r="H50" s="3">
        <v>45872</v>
      </c>
      <c r="I50" t="s">
        <v>175</v>
      </c>
      <c r="J50" s="4">
        <v>2</v>
      </c>
      <c r="K50" t="s">
        <v>65</v>
      </c>
      <c r="M50" t="s">
        <v>49</v>
      </c>
      <c r="N50" t="s">
        <v>27</v>
      </c>
      <c r="O50" s="1">
        <f>PipelineTable[[#This Row],[DealValue]]*PipelineTable[[#This Row],[Probability]]</f>
        <v>12707.25</v>
      </c>
      <c r="P50" s="1" cm="1">
        <f t="array" ref="P5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1200</v>
      </c>
      <c r="Q50" s="5" cm="1">
        <f t="array" ref="Q5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42.357500000000002</v>
      </c>
      <c r="R50" s="4">
        <f ca="1">MAX(0,TODAY()-PipelineTable[[#This Row],[LastContactDate]]-14)</f>
        <v>154</v>
      </c>
    </row>
    <row r="51" spans="1:18">
      <c r="A51" t="s">
        <v>176</v>
      </c>
      <c r="B51" t="s">
        <v>177</v>
      </c>
      <c r="C51" t="s">
        <v>52</v>
      </c>
      <c r="D51" t="s">
        <v>22</v>
      </c>
      <c r="E51" s="1">
        <v>15810</v>
      </c>
      <c r="F51" s="2">
        <v>0.33</v>
      </c>
      <c r="G51" t="s">
        <v>64</v>
      </c>
      <c r="H51" s="3">
        <v>45695</v>
      </c>
      <c r="I51" t="s">
        <v>101</v>
      </c>
      <c r="J51" s="4">
        <v>20</v>
      </c>
      <c r="K51" t="s">
        <v>43</v>
      </c>
      <c r="M51" t="s">
        <v>49</v>
      </c>
      <c r="N51" t="s">
        <v>44</v>
      </c>
      <c r="O51" s="1">
        <f>PipelineTable[[#This Row],[DealValue]]*PipelineTable[[#This Row],[Probability]]</f>
        <v>5217.3</v>
      </c>
      <c r="P51" s="1" cm="1">
        <f t="array" ref="P5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606.06060606060601</v>
      </c>
      <c r="Q51" s="5" cm="1">
        <f t="array" ref="Q5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26.086500000000001</v>
      </c>
      <c r="R51" s="4">
        <f ca="1">MAX(0,TODAY()-PipelineTable[[#This Row],[LastContactDate]]-14)</f>
        <v>331</v>
      </c>
    </row>
    <row r="52" spans="1:18">
      <c r="A52" t="s">
        <v>178</v>
      </c>
      <c r="B52" t="s">
        <v>179</v>
      </c>
      <c r="C52" t="s">
        <v>73</v>
      </c>
      <c r="D52" t="s">
        <v>53</v>
      </c>
      <c r="E52" s="1">
        <v>4858</v>
      </c>
      <c r="F52" s="2">
        <v>0.79</v>
      </c>
      <c r="G52" t="s">
        <v>33</v>
      </c>
      <c r="H52" s="3">
        <v>45740</v>
      </c>
      <c r="I52" t="s">
        <v>180</v>
      </c>
      <c r="J52" s="4">
        <v>56</v>
      </c>
      <c r="K52" t="s">
        <v>43</v>
      </c>
      <c r="M52" t="s">
        <v>26</v>
      </c>
      <c r="N52" t="s">
        <v>27</v>
      </c>
      <c r="O52" s="1">
        <f>PipelineTable[[#This Row],[DealValue]]*PipelineTable[[#This Row],[Probability]]</f>
        <v>3837.82</v>
      </c>
      <c r="P52" s="1" cm="1">
        <f t="array" ref="P5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379.74683544303798</v>
      </c>
      <c r="Q52" s="5" cm="1">
        <f t="array" ref="Q5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12.792733333333334</v>
      </c>
      <c r="R52" s="4">
        <f ca="1">MAX(0,TODAY()-PipelineTable[[#This Row],[LastContactDate]]-14)</f>
        <v>286</v>
      </c>
    </row>
    <row r="53" spans="1:18">
      <c r="A53" t="s">
        <v>181</v>
      </c>
      <c r="B53" t="s">
        <v>182</v>
      </c>
      <c r="C53" t="s">
        <v>126</v>
      </c>
      <c r="D53" t="s">
        <v>32</v>
      </c>
      <c r="E53" s="1">
        <v>11977</v>
      </c>
      <c r="F53" s="2">
        <v>0.25</v>
      </c>
      <c r="G53" t="s">
        <v>23</v>
      </c>
      <c r="H53" s="3">
        <v>45957</v>
      </c>
      <c r="I53" t="s">
        <v>171</v>
      </c>
      <c r="J53" s="4">
        <v>3</v>
      </c>
      <c r="M53" t="s">
        <v>26</v>
      </c>
      <c r="N53" t="s">
        <v>44</v>
      </c>
      <c r="O53" s="1">
        <f>PipelineTable[[#This Row],[DealValue]]*PipelineTable[[#This Row],[Probability]]</f>
        <v>2994.25</v>
      </c>
      <c r="P53" s="1" cm="1">
        <f t="array" ref="P5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800</v>
      </c>
      <c r="Q53" s="5" cm="1">
        <f t="array" ref="Q5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14.97125</v>
      </c>
      <c r="R53" s="4">
        <f ca="1">MAX(0,TODAY()-PipelineTable[[#This Row],[LastContactDate]]-14)</f>
        <v>69</v>
      </c>
    </row>
    <row r="54" spans="1:18">
      <c r="A54" t="s">
        <v>183</v>
      </c>
      <c r="B54" t="s">
        <v>184</v>
      </c>
      <c r="C54" t="s">
        <v>126</v>
      </c>
      <c r="D54" t="s">
        <v>22</v>
      </c>
      <c r="E54" s="1">
        <v>8118</v>
      </c>
      <c r="F54" s="2">
        <v>0.28000000000000003</v>
      </c>
      <c r="G54" t="s">
        <v>47</v>
      </c>
      <c r="H54" s="3">
        <v>45857</v>
      </c>
      <c r="I54" t="s">
        <v>139</v>
      </c>
      <c r="J54" s="4">
        <v>29</v>
      </c>
      <c r="K54" t="s">
        <v>35</v>
      </c>
      <c r="M54" t="s">
        <v>49</v>
      </c>
      <c r="N54" t="s">
        <v>37</v>
      </c>
      <c r="O54" s="1">
        <f>PipelineTable[[#This Row],[DealValue]]*PipelineTable[[#This Row],[Probability]]</f>
        <v>2273.0400000000004</v>
      </c>
      <c r="P54" s="1" cm="1">
        <f t="array" ref="P5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357.14285714285711</v>
      </c>
      <c r="Q54" s="5" cm="1">
        <f t="array" ref="Q5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22.730400000000003</v>
      </c>
      <c r="R54" s="4">
        <f ca="1">MAX(0,TODAY()-PipelineTable[[#This Row],[LastContactDate]]-14)</f>
        <v>169</v>
      </c>
    </row>
    <row r="55" spans="1:18">
      <c r="A55" t="s">
        <v>185</v>
      </c>
      <c r="B55" t="s">
        <v>186</v>
      </c>
      <c r="C55" t="s">
        <v>126</v>
      </c>
      <c r="D55" t="s">
        <v>74</v>
      </c>
      <c r="E55" s="1">
        <v>15774</v>
      </c>
      <c r="F55" s="2">
        <v>1</v>
      </c>
      <c r="G55" t="s">
        <v>41</v>
      </c>
      <c r="H55" s="3">
        <v>45678</v>
      </c>
      <c r="I55" t="s">
        <v>187</v>
      </c>
      <c r="J55" s="4">
        <v>17</v>
      </c>
      <c r="K55" t="s">
        <v>35</v>
      </c>
      <c r="M55" t="s">
        <v>49</v>
      </c>
      <c r="N55" t="s">
        <v>27</v>
      </c>
      <c r="O55" s="1">
        <f>PipelineTable[[#This Row],[DealValue]]*PipelineTable[[#This Row],[Probability]]</f>
        <v>15774</v>
      </c>
      <c r="P55" s="1" cm="1">
        <f t="array" ref="P5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300</v>
      </c>
      <c r="Q55" s="5" cm="1">
        <f t="array" ref="Q5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52.58</v>
      </c>
      <c r="R55" s="4">
        <f ca="1">MAX(0,TODAY()-PipelineTable[[#This Row],[LastContactDate]]-14)</f>
        <v>348</v>
      </c>
    </row>
    <row r="56" spans="1:18">
      <c r="A56" t="s">
        <v>188</v>
      </c>
      <c r="B56" t="s">
        <v>189</v>
      </c>
      <c r="C56" t="s">
        <v>52</v>
      </c>
      <c r="D56" t="s">
        <v>32</v>
      </c>
      <c r="E56" s="1">
        <v>86011</v>
      </c>
      <c r="F56" s="2">
        <v>0.18</v>
      </c>
      <c r="G56" t="s">
        <v>64</v>
      </c>
      <c r="H56" s="3">
        <v>45662</v>
      </c>
      <c r="I56" t="s">
        <v>175</v>
      </c>
      <c r="J56" s="4">
        <v>3</v>
      </c>
      <c r="K56" t="s">
        <v>102</v>
      </c>
      <c r="M56" t="s">
        <v>26</v>
      </c>
      <c r="N56" t="s">
        <v>37</v>
      </c>
      <c r="O56" s="1">
        <f>PipelineTable[[#This Row],[DealValue]]*PipelineTable[[#This Row],[Probability]]</f>
        <v>15481.98</v>
      </c>
      <c r="P56" s="1" cm="1">
        <f t="array" ref="P5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555.55555555555554</v>
      </c>
      <c r="Q56" s="5" cm="1">
        <f t="array" ref="Q5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154.81979999999999</v>
      </c>
      <c r="R56" s="4">
        <f ca="1">MAX(0,TODAY()-PipelineTable[[#This Row],[LastContactDate]]-14)</f>
        <v>364</v>
      </c>
    </row>
    <row r="57" spans="1:18">
      <c r="A57" t="s">
        <v>190</v>
      </c>
      <c r="B57" t="s">
        <v>191</v>
      </c>
      <c r="C57" t="s">
        <v>21</v>
      </c>
      <c r="D57" t="s">
        <v>22</v>
      </c>
      <c r="E57" s="1">
        <v>20451</v>
      </c>
      <c r="F57" s="2">
        <v>0.37</v>
      </c>
      <c r="G57" t="s">
        <v>33</v>
      </c>
      <c r="H57" s="3">
        <v>45885</v>
      </c>
      <c r="I57" t="s">
        <v>192</v>
      </c>
      <c r="J57" s="4">
        <v>6</v>
      </c>
      <c r="K57" t="s">
        <v>65</v>
      </c>
      <c r="M57" t="s">
        <v>26</v>
      </c>
      <c r="N57" t="s">
        <v>37</v>
      </c>
      <c r="O57" s="1">
        <f>PipelineTable[[#This Row],[DealValue]]*PipelineTable[[#This Row],[Probability]]</f>
        <v>7566.87</v>
      </c>
      <c r="P57" s="1" cm="1">
        <f t="array" ref="P5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270.27027027027026</v>
      </c>
      <c r="Q57" s="5" cm="1">
        <f t="array" ref="Q5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75.668700000000001</v>
      </c>
      <c r="R57" s="4">
        <f ca="1">MAX(0,TODAY()-PipelineTable[[#This Row],[LastContactDate]]-14)</f>
        <v>141</v>
      </c>
    </row>
    <row r="58" spans="1:18">
      <c r="A58" t="s">
        <v>193</v>
      </c>
      <c r="B58" t="s">
        <v>194</v>
      </c>
      <c r="C58" t="s">
        <v>31</v>
      </c>
      <c r="D58" t="s">
        <v>22</v>
      </c>
      <c r="E58" s="1">
        <v>2689</v>
      </c>
      <c r="F58" s="2">
        <v>0.22</v>
      </c>
      <c r="G58" t="s">
        <v>54</v>
      </c>
      <c r="H58" s="3">
        <v>46000</v>
      </c>
      <c r="I58" t="s">
        <v>24</v>
      </c>
      <c r="J58" s="4">
        <v>26</v>
      </c>
      <c r="K58" t="s">
        <v>102</v>
      </c>
      <c r="M58" t="s">
        <v>36</v>
      </c>
      <c r="N58" t="s">
        <v>44</v>
      </c>
      <c r="O58" s="1">
        <f>PipelineTable[[#This Row],[DealValue]]*PipelineTable[[#This Row],[Probability]]</f>
        <v>591.58000000000004</v>
      </c>
      <c r="P58" s="1" cm="1">
        <f t="array" ref="P5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909.09090909090912</v>
      </c>
      <c r="Q58" s="5" cm="1">
        <f t="array" ref="Q5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2.9579000000000004</v>
      </c>
      <c r="R58" s="4">
        <f ca="1">MAX(0,TODAY()-PipelineTable[[#This Row],[LastContactDate]]-14)</f>
        <v>26</v>
      </c>
    </row>
    <row r="59" spans="1:18">
      <c r="A59" t="s">
        <v>195</v>
      </c>
      <c r="B59" t="s">
        <v>196</v>
      </c>
      <c r="C59" t="s">
        <v>57</v>
      </c>
      <c r="D59" t="s">
        <v>22</v>
      </c>
      <c r="E59" s="1">
        <v>37452</v>
      </c>
      <c r="F59" s="2">
        <v>0.39</v>
      </c>
      <c r="G59" t="s">
        <v>41</v>
      </c>
      <c r="H59" s="3">
        <v>45792</v>
      </c>
      <c r="I59" t="s">
        <v>192</v>
      </c>
      <c r="J59" s="4">
        <v>11</v>
      </c>
      <c r="K59" t="s">
        <v>56</v>
      </c>
      <c r="M59" t="s">
        <v>49</v>
      </c>
      <c r="N59" t="s">
        <v>37</v>
      </c>
      <c r="O59" s="1">
        <f>PipelineTable[[#This Row],[DealValue]]*PipelineTable[[#This Row],[Probability]]</f>
        <v>14606.28</v>
      </c>
      <c r="P59" s="1" cm="1">
        <f t="array" ref="P5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256.41025641025641</v>
      </c>
      <c r="Q59" s="5" cm="1">
        <f t="array" ref="Q5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146.06280000000001</v>
      </c>
      <c r="R59" s="4">
        <f ca="1">MAX(0,TODAY()-PipelineTable[[#This Row],[LastContactDate]]-14)</f>
        <v>234</v>
      </c>
    </row>
    <row r="60" spans="1:18">
      <c r="A60" t="s">
        <v>197</v>
      </c>
      <c r="B60" t="s">
        <v>198</v>
      </c>
      <c r="C60" t="s">
        <v>31</v>
      </c>
      <c r="D60" t="s">
        <v>78</v>
      </c>
      <c r="E60" s="1">
        <v>54366</v>
      </c>
      <c r="F60" s="2">
        <v>0.22</v>
      </c>
      <c r="G60" t="s">
        <v>23</v>
      </c>
      <c r="H60" s="3">
        <v>45922</v>
      </c>
      <c r="I60" t="s">
        <v>199</v>
      </c>
      <c r="J60" s="4">
        <v>33</v>
      </c>
      <c r="K60" t="s">
        <v>92</v>
      </c>
      <c r="L60" t="s">
        <v>200</v>
      </c>
      <c r="M60" t="s">
        <v>49</v>
      </c>
      <c r="N60" t="s">
        <v>44</v>
      </c>
      <c r="O60" s="1">
        <f>PipelineTable[[#This Row],[DealValue]]*PipelineTable[[#This Row],[Probability]]</f>
        <v>11960.52</v>
      </c>
      <c r="P60" s="1" cm="1">
        <f t="array" ref="P6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909.09090909090912</v>
      </c>
      <c r="Q60" s="5" cm="1">
        <f t="array" ref="Q6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59.802600000000005</v>
      </c>
      <c r="R60" s="4">
        <f ca="1">MAX(0,TODAY()-PipelineTable[[#This Row],[LastContactDate]]-14)</f>
        <v>104</v>
      </c>
    </row>
    <row r="61" spans="1:18">
      <c r="A61" t="s">
        <v>201</v>
      </c>
      <c r="B61" t="s">
        <v>157</v>
      </c>
      <c r="C61" t="s">
        <v>31</v>
      </c>
      <c r="D61" t="s">
        <v>22</v>
      </c>
      <c r="E61" s="1">
        <v>35631</v>
      </c>
      <c r="F61" s="2">
        <v>0.35</v>
      </c>
      <c r="G61" t="s">
        <v>23</v>
      </c>
      <c r="H61" s="3">
        <v>45706</v>
      </c>
      <c r="I61" t="s">
        <v>68</v>
      </c>
      <c r="J61" s="4">
        <v>23</v>
      </c>
      <c r="K61" t="s">
        <v>102</v>
      </c>
      <c r="M61" t="s">
        <v>36</v>
      </c>
      <c r="N61" t="s">
        <v>44</v>
      </c>
      <c r="O61" s="1">
        <f>PipelineTable[[#This Row],[DealValue]]*PipelineTable[[#This Row],[Probability]]</f>
        <v>12470.849999999999</v>
      </c>
      <c r="P61" s="1" cm="1">
        <f t="array" ref="P6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571.42857142857144</v>
      </c>
      <c r="Q61" s="5" cm="1">
        <f t="array" ref="Q6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62.354249999999993</v>
      </c>
      <c r="R61" s="4">
        <f ca="1">MAX(0,TODAY()-PipelineTable[[#This Row],[LastContactDate]]-14)</f>
        <v>320</v>
      </c>
    </row>
    <row r="62" spans="1:18">
      <c r="A62" t="s">
        <v>202</v>
      </c>
      <c r="B62" t="s">
        <v>203</v>
      </c>
      <c r="C62" t="s">
        <v>126</v>
      </c>
      <c r="D62" t="s">
        <v>22</v>
      </c>
      <c r="E62" s="1">
        <v>161916</v>
      </c>
      <c r="F62" s="2">
        <v>0.3</v>
      </c>
      <c r="G62" t="s">
        <v>82</v>
      </c>
      <c r="H62" s="3">
        <v>45903</v>
      </c>
      <c r="I62" t="s">
        <v>101</v>
      </c>
      <c r="J62" s="4">
        <v>6</v>
      </c>
      <c r="K62" t="s">
        <v>56</v>
      </c>
      <c r="M62" t="s">
        <v>49</v>
      </c>
      <c r="N62" t="s">
        <v>28</v>
      </c>
      <c r="O62" s="1">
        <f>PipelineTable[[#This Row],[DealValue]]*PipelineTable[[#This Row],[Probability]]</f>
        <v>48574.799999999996</v>
      </c>
      <c r="P62" s="1" cm="1">
        <f t="array" ref="P6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500</v>
      </c>
      <c r="Q62" s="5" cm="1">
        <f t="array" ref="Q6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323.83199999999999</v>
      </c>
      <c r="R62" s="4">
        <f ca="1">MAX(0,TODAY()-PipelineTable[[#This Row],[LastContactDate]]-14)</f>
        <v>123</v>
      </c>
    </row>
    <row r="63" spans="1:18">
      <c r="A63" t="s">
        <v>204</v>
      </c>
      <c r="B63" t="s">
        <v>205</v>
      </c>
      <c r="C63" t="s">
        <v>52</v>
      </c>
      <c r="D63" t="s">
        <v>53</v>
      </c>
      <c r="E63" s="1">
        <v>36768</v>
      </c>
      <c r="F63" s="2">
        <v>0.77</v>
      </c>
      <c r="G63" t="s">
        <v>41</v>
      </c>
      <c r="H63" s="3">
        <v>45847</v>
      </c>
      <c r="I63" t="s">
        <v>180</v>
      </c>
      <c r="J63" s="4">
        <v>43</v>
      </c>
      <c r="K63" t="s">
        <v>65</v>
      </c>
      <c r="M63" t="s">
        <v>49</v>
      </c>
      <c r="N63" t="s">
        <v>37</v>
      </c>
      <c r="O63" s="1">
        <f>PipelineTable[[#This Row],[DealValue]]*PipelineTable[[#This Row],[Probability]]</f>
        <v>28311.360000000001</v>
      </c>
      <c r="P63" s="1" cm="1">
        <f t="array" ref="P6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129.87012987012986</v>
      </c>
      <c r="Q63" s="5" cm="1">
        <f t="array" ref="Q6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283.11360000000002</v>
      </c>
      <c r="R63" s="4">
        <f ca="1">MAX(0,TODAY()-PipelineTable[[#This Row],[LastContactDate]]-14)</f>
        <v>179</v>
      </c>
    </row>
    <row r="64" spans="1:18">
      <c r="A64" t="s">
        <v>206</v>
      </c>
      <c r="B64" t="s">
        <v>207</v>
      </c>
      <c r="C64" t="s">
        <v>126</v>
      </c>
      <c r="D64" t="s">
        <v>40</v>
      </c>
      <c r="E64" s="1">
        <v>63761</v>
      </c>
      <c r="F64" s="2">
        <v>0.49</v>
      </c>
      <c r="G64" t="s">
        <v>23</v>
      </c>
      <c r="H64" s="3">
        <v>45847</v>
      </c>
      <c r="I64" t="s">
        <v>131</v>
      </c>
      <c r="J64" s="4">
        <v>30</v>
      </c>
      <c r="K64" t="s">
        <v>98</v>
      </c>
      <c r="M64" t="s">
        <v>26</v>
      </c>
      <c r="N64" t="s">
        <v>28</v>
      </c>
      <c r="O64" s="1">
        <f>PipelineTable[[#This Row],[DealValue]]*PipelineTable[[#This Row],[Probability]]</f>
        <v>31242.89</v>
      </c>
      <c r="P64" s="1" cm="1">
        <f t="array" ref="P6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306.12244897959187</v>
      </c>
      <c r="Q64" s="5" cm="1">
        <f t="array" ref="Q6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208.28593333333333</v>
      </c>
      <c r="R64" s="4">
        <f ca="1">MAX(0,TODAY()-PipelineTable[[#This Row],[LastContactDate]]-14)</f>
        <v>179</v>
      </c>
    </row>
    <row r="65" spans="1:18">
      <c r="A65" t="s">
        <v>208</v>
      </c>
      <c r="B65" t="s">
        <v>209</v>
      </c>
      <c r="C65" t="s">
        <v>73</v>
      </c>
      <c r="D65" t="s">
        <v>32</v>
      </c>
      <c r="E65" s="1">
        <v>85325</v>
      </c>
      <c r="F65" s="2">
        <v>0.18</v>
      </c>
      <c r="G65" t="s">
        <v>23</v>
      </c>
      <c r="H65" s="3">
        <v>45916</v>
      </c>
      <c r="I65" t="s">
        <v>175</v>
      </c>
      <c r="J65" s="4">
        <v>1</v>
      </c>
      <c r="K65" t="s">
        <v>102</v>
      </c>
      <c r="M65" t="s">
        <v>26</v>
      </c>
      <c r="N65" t="s">
        <v>37</v>
      </c>
      <c r="O65" s="1">
        <f>PipelineTable[[#This Row],[DealValue]]*PipelineTable[[#This Row],[Probability]]</f>
        <v>15358.5</v>
      </c>
      <c r="P65" s="1" cm="1">
        <f t="array" ref="P6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555.55555555555554</v>
      </c>
      <c r="Q65" s="5" cm="1">
        <f t="array" ref="Q6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153.58500000000001</v>
      </c>
      <c r="R65" s="4">
        <f ca="1">MAX(0,TODAY()-PipelineTable[[#This Row],[LastContactDate]]-14)</f>
        <v>110</v>
      </c>
    </row>
    <row r="66" spans="1:18">
      <c r="A66" t="s">
        <v>210</v>
      </c>
      <c r="B66" t="s">
        <v>211</v>
      </c>
      <c r="C66" t="s">
        <v>21</v>
      </c>
      <c r="D66" t="s">
        <v>22</v>
      </c>
      <c r="E66" s="1">
        <v>85461</v>
      </c>
      <c r="F66" s="2">
        <v>0.31</v>
      </c>
      <c r="G66" t="s">
        <v>60</v>
      </c>
      <c r="H66" s="3">
        <v>45939</v>
      </c>
      <c r="I66" t="s">
        <v>192</v>
      </c>
      <c r="J66" s="4">
        <v>6</v>
      </c>
      <c r="K66" t="s">
        <v>61</v>
      </c>
      <c r="M66" t="s">
        <v>36</v>
      </c>
      <c r="N66" t="s">
        <v>27</v>
      </c>
      <c r="O66" s="1">
        <f>PipelineTable[[#This Row],[DealValue]]*PipelineTable[[#This Row],[Probability]]</f>
        <v>26492.91</v>
      </c>
      <c r="P66" s="1" cm="1">
        <f t="array" ref="P6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967.74193548387098</v>
      </c>
      <c r="Q66" s="5" cm="1">
        <f t="array" ref="Q6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88.309700000000007</v>
      </c>
      <c r="R66" s="4">
        <f ca="1">MAX(0,TODAY()-PipelineTable[[#This Row],[LastContactDate]]-14)</f>
        <v>87</v>
      </c>
    </row>
    <row r="67" spans="1:18">
      <c r="A67" t="s">
        <v>212</v>
      </c>
      <c r="B67" t="s">
        <v>109</v>
      </c>
      <c r="C67" t="s">
        <v>31</v>
      </c>
      <c r="D67" t="s">
        <v>74</v>
      </c>
      <c r="E67" s="1">
        <v>24036</v>
      </c>
      <c r="F67" s="2">
        <v>1</v>
      </c>
      <c r="G67" t="s">
        <v>47</v>
      </c>
      <c r="H67" s="3">
        <v>45956</v>
      </c>
      <c r="I67" t="s">
        <v>213</v>
      </c>
      <c r="J67" s="4">
        <v>71</v>
      </c>
      <c r="K67" t="s">
        <v>35</v>
      </c>
      <c r="M67" t="s">
        <v>49</v>
      </c>
      <c r="N67" t="s">
        <v>44</v>
      </c>
      <c r="O67" s="1">
        <f>PipelineTable[[#This Row],[DealValue]]*PipelineTable[[#This Row],[Probability]]</f>
        <v>24036</v>
      </c>
      <c r="P67" s="1" cm="1">
        <f t="array" ref="P6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200</v>
      </c>
      <c r="Q67" s="5" cm="1">
        <f t="array" ref="Q6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120.18</v>
      </c>
      <c r="R67" s="4">
        <f ca="1">MAX(0,TODAY()-PipelineTable[[#This Row],[LastContactDate]]-14)</f>
        <v>70</v>
      </c>
    </row>
    <row r="68" spans="1:18">
      <c r="A68" t="s">
        <v>214</v>
      </c>
      <c r="B68" t="s">
        <v>215</v>
      </c>
      <c r="C68" t="s">
        <v>73</v>
      </c>
      <c r="D68" t="s">
        <v>74</v>
      </c>
      <c r="E68" s="1">
        <v>23532</v>
      </c>
      <c r="F68" s="2">
        <v>1</v>
      </c>
      <c r="G68" t="s">
        <v>82</v>
      </c>
      <c r="H68" s="3">
        <v>45681</v>
      </c>
      <c r="J68" s="4">
        <v>65</v>
      </c>
      <c r="K68" t="s">
        <v>43</v>
      </c>
      <c r="M68" t="s">
        <v>36</v>
      </c>
      <c r="N68" t="s">
        <v>27</v>
      </c>
      <c r="O68" s="1">
        <f>PipelineTable[[#This Row],[DealValue]]*PipelineTable[[#This Row],[Probability]]</f>
        <v>23532</v>
      </c>
      <c r="P68" s="1" cm="1">
        <f t="array" ref="P6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300</v>
      </c>
      <c r="Q68" s="5" cm="1">
        <f t="array" ref="Q6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78.44</v>
      </c>
      <c r="R68" s="4">
        <f ca="1">MAX(0,TODAY()-PipelineTable[[#This Row],[LastContactDate]]-14)</f>
        <v>345</v>
      </c>
    </row>
    <row r="69" spans="1:18">
      <c r="A69" t="s">
        <v>216</v>
      </c>
      <c r="B69" t="s">
        <v>207</v>
      </c>
      <c r="C69" t="s">
        <v>57</v>
      </c>
      <c r="D69" t="s">
        <v>32</v>
      </c>
      <c r="E69" s="1">
        <v>17934</v>
      </c>
      <c r="F69" s="2">
        <v>0.22</v>
      </c>
      <c r="G69" t="s">
        <v>64</v>
      </c>
      <c r="H69" s="3">
        <v>45906</v>
      </c>
      <c r="J69" s="4">
        <v>20</v>
      </c>
      <c r="K69" t="s">
        <v>56</v>
      </c>
      <c r="M69" t="s">
        <v>49</v>
      </c>
      <c r="N69" t="s">
        <v>27</v>
      </c>
      <c r="O69" s="1">
        <f>PipelineTable[[#This Row],[DealValue]]*PipelineTable[[#This Row],[Probability]]</f>
        <v>3945.48</v>
      </c>
      <c r="P69" s="1" cm="1">
        <f t="array" ref="P6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1363.6363636363637</v>
      </c>
      <c r="Q69" s="5" cm="1">
        <f t="array" ref="Q6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13.1516</v>
      </c>
      <c r="R69" s="4">
        <f ca="1">MAX(0,TODAY()-PipelineTable[[#This Row],[LastContactDate]]-14)</f>
        <v>120</v>
      </c>
    </row>
    <row r="70" spans="1:18">
      <c r="A70" t="s">
        <v>217</v>
      </c>
      <c r="B70" t="s">
        <v>218</v>
      </c>
      <c r="C70" t="s">
        <v>126</v>
      </c>
      <c r="D70" t="s">
        <v>22</v>
      </c>
      <c r="E70" s="1">
        <v>80837</v>
      </c>
      <c r="F70" s="2">
        <v>0.39</v>
      </c>
      <c r="G70" t="s">
        <v>82</v>
      </c>
      <c r="H70" s="3">
        <v>45867</v>
      </c>
      <c r="I70" t="s">
        <v>68</v>
      </c>
      <c r="J70" s="4">
        <v>14</v>
      </c>
      <c r="K70" t="s">
        <v>25</v>
      </c>
      <c r="M70" t="s">
        <v>26</v>
      </c>
      <c r="N70" t="s">
        <v>37</v>
      </c>
      <c r="O70" s="1">
        <f>PipelineTable[[#This Row],[DealValue]]*PipelineTable[[#This Row],[Probability]]</f>
        <v>31526.43</v>
      </c>
      <c r="P70" s="1" cm="1">
        <f t="array" ref="P7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256.41025641025641</v>
      </c>
      <c r="Q70" s="5" cm="1">
        <f t="array" ref="Q7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315.26429999999999</v>
      </c>
      <c r="R70" s="4">
        <f ca="1">MAX(0,TODAY()-PipelineTable[[#This Row],[LastContactDate]]-14)</f>
        <v>159</v>
      </c>
    </row>
    <row r="71" spans="1:18">
      <c r="A71" t="s">
        <v>219</v>
      </c>
      <c r="B71" t="s">
        <v>220</v>
      </c>
      <c r="C71" t="s">
        <v>52</v>
      </c>
      <c r="D71" t="s">
        <v>40</v>
      </c>
      <c r="E71" s="1">
        <v>39531</v>
      </c>
      <c r="F71" s="2">
        <v>0.63</v>
      </c>
      <c r="G71" t="s">
        <v>64</v>
      </c>
      <c r="H71" s="3">
        <v>45942</v>
      </c>
      <c r="I71" t="s">
        <v>107</v>
      </c>
      <c r="J71" s="4">
        <v>14</v>
      </c>
      <c r="K71" t="s">
        <v>65</v>
      </c>
      <c r="M71" t="s">
        <v>49</v>
      </c>
      <c r="N71" t="s">
        <v>37</v>
      </c>
      <c r="O71" s="1">
        <f>PipelineTable[[#This Row],[DealValue]]*PipelineTable[[#This Row],[Probability]]</f>
        <v>24904.53</v>
      </c>
      <c r="P71" s="1" cm="1">
        <f t="array" ref="P7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158.73015873015873</v>
      </c>
      <c r="Q71" s="5" cm="1">
        <f t="array" ref="Q7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249.0453</v>
      </c>
      <c r="R71" s="4">
        <f ca="1">MAX(0,TODAY()-PipelineTable[[#This Row],[LastContactDate]]-14)</f>
        <v>84</v>
      </c>
    </row>
    <row r="72" spans="1:18">
      <c r="A72" t="s">
        <v>221</v>
      </c>
      <c r="B72" t="s">
        <v>222</v>
      </c>
      <c r="C72" t="s">
        <v>73</v>
      </c>
      <c r="D72" t="s">
        <v>32</v>
      </c>
      <c r="E72" s="1">
        <v>181353</v>
      </c>
      <c r="F72" s="2">
        <v>0.15</v>
      </c>
      <c r="G72" t="s">
        <v>82</v>
      </c>
      <c r="H72" s="3">
        <v>45905</v>
      </c>
      <c r="I72" t="s">
        <v>48</v>
      </c>
      <c r="J72" s="4">
        <v>3</v>
      </c>
      <c r="K72" t="s">
        <v>43</v>
      </c>
      <c r="M72" t="s">
        <v>26</v>
      </c>
      <c r="N72" t="s">
        <v>27</v>
      </c>
      <c r="O72" s="1">
        <f>PipelineTable[[#This Row],[DealValue]]*PipelineTable[[#This Row],[Probability]]</f>
        <v>27202.95</v>
      </c>
      <c r="P72" s="1" cm="1">
        <f t="array" ref="P7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2000</v>
      </c>
      <c r="Q72" s="5" cm="1">
        <f t="array" ref="Q7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90.676500000000004</v>
      </c>
      <c r="R72" s="4">
        <f ca="1">MAX(0,TODAY()-PipelineTable[[#This Row],[LastContactDate]]-14)</f>
        <v>121</v>
      </c>
    </row>
    <row r="73" spans="1:18">
      <c r="A73" t="s">
        <v>223</v>
      </c>
      <c r="B73" t="s">
        <v>224</v>
      </c>
      <c r="C73" t="s">
        <v>73</v>
      </c>
      <c r="D73" t="s">
        <v>40</v>
      </c>
      <c r="E73" s="1">
        <v>6924</v>
      </c>
      <c r="F73" s="2">
        <v>0.41</v>
      </c>
      <c r="G73" t="s">
        <v>33</v>
      </c>
      <c r="H73" s="3">
        <v>45737</v>
      </c>
      <c r="I73" t="s">
        <v>83</v>
      </c>
      <c r="J73" s="4">
        <v>26</v>
      </c>
      <c r="K73" t="s">
        <v>92</v>
      </c>
      <c r="M73" t="s">
        <v>26</v>
      </c>
      <c r="N73" t="s">
        <v>44</v>
      </c>
      <c r="O73" s="1">
        <f>PipelineTable[[#This Row],[DealValue]]*PipelineTable[[#This Row],[Probability]]</f>
        <v>2838.8399999999997</v>
      </c>
      <c r="P73" s="1" cm="1">
        <f t="array" ref="P7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487.80487804878049</v>
      </c>
      <c r="Q73" s="5" cm="1">
        <f t="array" ref="Q7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14.194199999999999</v>
      </c>
      <c r="R73" s="4">
        <f ca="1">MAX(0,TODAY()-PipelineTable[[#This Row],[LastContactDate]]-14)</f>
        <v>289</v>
      </c>
    </row>
    <row r="74" spans="1:18">
      <c r="A74" t="s">
        <v>225</v>
      </c>
      <c r="B74" t="s">
        <v>226</v>
      </c>
      <c r="C74" t="s">
        <v>57</v>
      </c>
      <c r="D74" t="s">
        <v>40</v>
      </c>
      <c r="E74" s="1">
        <v>5246</v>
      </c>
      <c r="F74" s="2">
        <v>0.47</v>
      </c>
      <c r="G74" t="s">
        <v>33</v>
      </c>
      <c r="H74" s="3">
        <v>45949</v>
      </c>
      <c r="I74" t="s">
        <v>83</v>
      </c>
      <c r="J74" s="4">
        <v>29</v>
      </c>
      <c r="K74" t="s">
        <v>56</v>
      </c>
      <c r="M74" t="s">
        <v>26</v>
      </c>
      <c r="N74" t="s">
        <v>44</v>
      </c>
      <c r="O74" s="1">
        <f>PipelineTable[[#This Row],[DealValue]]*PipelineTable[[#This Row],[Probability]]</f>
        <v>2465.62</v>
      </c>
      <c r="P74" s="1" cm="1">
        <f t="array" ref="P7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425.53191489361706</v>
      </c>
      <c r="Q74" s="5" cm="1">
        <f t="array" ref="Q7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12.328099999999999</v>
      </c>
      <c r="R74" s="4">
        <f ca="1">MAX(0,TODAY()-PipelineTable[[#This Row],[LastContactDate]]-14)</f>
        <v>77</v>
      </c>
    </row>
    <row r="75" spans="1:18">
      <c r="A75" t="s">
        <v>227</v>
      </c>
      <c r="B75" t="s">
        <v>20</v>
      </c>
      <c r="C75" t="s">
        <v>126</v>
      </c>
      <c r="D75" t="s">
        <v>22</v>
      </c>
      <c r="E75" s="1">
        <v>10513</v>
      </c>
      <c r="F75" s="2">
        <v>0.43</v>
      </c>
      <c r="G75" t="s">
        <v>47</v>
      </c>
      <c r="H75" s="3">
        <v>45952</v>
      </c>
      <c r="I75" t="s">
        <v>139</v>
      </c>
      <c r="J75" s="4">
        <v>24</v>
      </c>
      <c r="K75" t="s">
        <v>56</v>
      </c>
      <c r="M75" t="s">
        <v>36</v>
      </c>
      <c r="N75" t="s">
        <v>27</v>
      </c>
      <c r="O75" s="1">
        <f>PipelineTable[[#This Row],[DealValue]]*PipelineTable[[#This Row],[Probability]]</f>
        <v>4520.59</v>
      </c>
      <c r="P75" s="1" cm="1">
        <f t="array" ref="P7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697.67441860465112</v>
      </c>
      <c r="Q75" s="5" cm="1">
        <f t="array" ref="Q7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15.068633333333334</v>
      </c>
      <c r="R75" s="4">
        <f ca="1">MAX(0,TODAY()-PipelineTable[[#This Row],[LastContactDate]]-14)</f>
        <v>74</v>
      </c>
    </row>
    <row r="76" spans="1:18">
      <c r="A76" t="s">
        <v>134</v>
      </c>
      <c r="B76" t="s">
        <v>228</v>
      </c>
      <c r="C76" t="s">
        <v>52</v>
      </c>
      <c r="D76" t="s">
        <v>32</v>
      </c>
      <c r="E76" s="1">
        <v>52010</v>
      </c>
      <c r="F76" s="2">
        <v>0.1</v>
      </c>
      <c r="G76" t="s">
        <v>54</v>
      </c>
      <c r="H76" s="3">
        <v>45992</v>
      </c>
      <c r="I76" t="s">
        <v>34</v>
      </c>
      <c r="J76" s="4">
        <v>3</v>
      </c>
      <c r="K76" t="s">
        <v>92</v>
      </c>
      <c r="M76" t="s">
        <v>49</v>
      </c>
      <c r="N76" t="s">
        <v>44</v>
      </c>
      <c r="O76" s="1">
        <f>PipelineTable[[#This Row],[DealValue]]*PipelineTable[[#This Row],[Probability]]</f>
        <v>5201</v>
      </c>
      <c r="P76" s="1" cm="1">
        <f t="array" ref="P7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2000</v>
      </c>
      <c r="Q76" s="5" cm="1">
        <f t="array" ref="Q7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26.004999999999999</v>
      </c>
      <c r="R76" s="4">
        <f ca="1">MAX(0,TODAY()-PipelineTable[[#This Row],[LastContactDate]]-14)</f>
        <v>34</v>
      </c>
    </row>
    <row r="77" spans="1:18">
      <c r="A77" t="s">
        <v>229</v>
      </c>
      <c r="B77" t="s">
        <v>230</v>
      </c>
      <c r="C77" t="s">
        <v>126</v>
      </c>
      <c r="D77" t="s">
        <v>22</v>
      </c>
      <c r="E77" s="1">
        <v>64595</v>
      </c>
      <c r="F77" s="2">
        <v>0.42</v>
      </c>
      <c r="G77" t="s">
        <v>64</v>
      </c>
      <c r="H77" s="3">
        <v>45825</v>
      </c>
      <c r="I77" t="s">
        <v>101</v>
      </c>
      <c r="J77" s="4">
        <v>29</v>
      </c>
      <c r="K77" t="s">
        <v>92</v>
      </c>
      <c r="M77" t="s">
        <v>49</v>
      </c>
      <c r="N77" t="s">
        <v>37</v>
      </c>
      <c r="O77" s="1">
        <f>PipelineTable[[#This Row],[DealValue]]*PipelineTable[[#This Row],[Probability]]</f>
        <v>27129.899999999998</v>
      </c>
      <c r="P77" s="1" cm="1">
        <f t="array" ref="P7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238.0952380952381</v>
      </c>
      <c r="Q77" s="5" cm="1">
        <f t="array" ref="Q7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271.29899999999998</v>
      </c>
      <c r="R77" s="4">
        <f ca="1">MAX(0,TODAY()-PipelineTable[[#This Row],[LastContactDate]]-14)</f>
        <v>201</v>
      </c>
    </row>
    <row r="78" spans="1:18">
      <c r="A78" t="s">
        <v>231</v>
      </c>
      <c r="B78" t="s">
        <v>232</v>
      </c>
      <c r="C78" t="s">
        <v>57</v>
      </c>
      <c r="D78" t="s">
        <v>53</v>
      </c>
      <c r="E78" s="1">
        <v>14954</v>
      </c>
      <c r="F78" s="2">
        <v>0.84</v>
      </c>
      <c r="G78" t="s">
        <v>82</v>
      </c>
      <c r="H78" s="3">
        <v>45909</v>
      </c>
      <c r="I78" t="s">
        <v>148</v>
      </c>
      <c r="J78" s="4">
        <v>31</v>
      </c>
      <c r="K78" t="s">
        <v>43</v>
      </c>
      <c r="M78" t="s">
        <v>36</v>
      </c>
      <c r="N78" t="s">
        <v>37</v>
      </c>
      <c r="O78" s="1">
        <f>PipelineTable[[#This Row],[DealValue]]*PipelineTable[[#This Row],[Probability]]</f>
        <v>12561.359999999999</v>
      </c>
      <c r="P78" s="1" cm="1">
        <f t="array" ref="P7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119.04761904761905</v>
      </c>
      <c r="Q78" s="5" cm="1">
        <f t="array" ref="Q7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125.61359999999999</v>
      </c>
      <c r="R78" s="4">
        <f ca="1">MAX(0,TODAY()-PipelineTable[[#This Row],[LastContactDate]]-14)</f>
        <v>117</v>
      </c>
    </row>
    <row r="79" spans="1:18">
      <c r="A79" t="s">
        <v>233</v>
      </c>
      <c r="B79" t="s">
        <v>234</v>
      </c>
      <c r="C79" t="s">
        <v>57</v>
      </c>
      <c r="D79" t="s">
        <v>74</v>
      </c>
      <c r="E79" s="1">
        <v>9760</v>
      </c>
      <c r="F79" s="2">
        <v>1</v>
      </c>
      <c r="G79" t="s">
        <v>23</v>
      </c>
      <c r="H79" s="3">
        <v>45784</v>
      </c>
      <c r="I79" t="s">
        <v>136</v>
      </c>
      <c r="J79" s="4">
        <v>65</v>
      </c>
      <c r="K79" t="s">
        <v>95</v>
      </c>
      <c r="M79" t="s">
        <v>36</v>
      </c>
      <c r="N79" t="s">
        <v>44</v>
      </c>
      <c r="O79" s="1">
        <f>PipelineTable[[#This Row],[DealValue]]*PipelineTable[[#This Row],[Probability]]</f>
        <v>9760</v>
      </c>
      <c r="P79" s="1" cm="1">
        <f t="array" ref="P7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200</v>
      </c>
      <c r="Q79" s="5" cm="1">
        <f t="array" ref="Q7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48.8</v>
      </c>
      <c r="R79" s="4">
        <f ca="1">MAX(0,TODAY()-PipelineTable[[#This Row],[LastContactDate]]-14)</f>
        <v>242</v>
      </c>
    </row>
    <row r="80" spans="1:18">
      <c r="A80" t="s">
        <v>235</v>
      </c>
      <c r="B80" t="s">
        <v>236</v>
      </c>
      <c r="C80" t="s">
        <v>31</v>
      </c>
      <c r="D80" t="s">
        <v>40</v>
      </c>
      <c r="E80" s="1">
        <v>9018</v>
      </c>
      <c r="F80" s="2">
        <v>0.43</v>
      </c>
      <c r="G80" t="s">
        <v>82</v>
      </c>
      <c r="H80" s="3">
        <v>45945</v>
      </c>
      <c r="I80" t="s">
        <v>161</v>
      </c>
      <c r="J80" s="4">
        <v>17</v>
      </c>
      <c r="K80" t="s">
        <v>102</v>
      </c>
      <c r="M80" t="s">
        <v>49</v>
      </c>
      <c r="N80" t="s">
        <v>44</v>
      </c>
      <c r="O80" s="1">
        <f>PipelineTable[[#This Row],[DealValue]]*PipelineTable[[#This Row],[Probability]]</f>
        <v>3877.74</v>
      </c>
      <c r="P80" s="1" cm="1">
        <f t="array" ref="P8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465.11627906976747</v>
      </c>
      <c r="Q80" s="5" cm="1">
        <f t="array" ref="Q8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19.3887</v>
      </c>
      <c r="R80" s="4">
        <f ca="1">MAX(0,TODAY()-PipelineTable[[#This Row],[LastContactDate]]-14)</f>
        <v>81</v>
      </c>
    </row>
    <row r="81" spans="1:18">
      <c r="A81" t="s">
        <v>237</v>
      </c>
      <c r="B81" t="s">
        <v>238</v>
      </c>
      <c r="C81" t="s">
        <v>126</v>
      </c>
      <c r="D81" t="s">
        <v>22</v>
      </c>
      <c r="E81" s="1">
        <v>20835</v>
      </c>
      <c r="F81" s="2">
        <v>0.35</v>
      </c>
      <c r="G81" t="s">
        <v>60</v>
      </c>
      <c r="H81" s="3">
        <v>45756</v>
      </c>
      <c r="I81" t="s">
        <v>68</v>
      </c>
      <c r="J81" s="4">
        <v>27</v>
      </c>
      <c r="K81" t="s">
        <v>25</v>
      </c>
      <c r="M81" t="s">
        <v>49</v>
      </c>
      <c r="N81" t="s">
        <v>27</v>
      </c>
      <c r="O81" s="1">
        <f>PipelineTable[[#This Row],[DealValue]]*PipelineTable[[#This Row],[Probability]]</f>
        <v>7292.2499999999991</v>
      </c>
      <c r="P81" s="1" cm="1">
        <f t="array" ref="P8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857.14285714285722</v>
      </c>
      <c r="Q81" s="5" cm="1">
        <f t="array" ref="Q8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24.307499999999997</v>
      </c>
      <c r="R81" s="4">
        <f ca="1">MAX(0,TODAY()-PipelineTable[[#This Row],[LastContactDate]]-14)</f>
        <v>270</v>
      </c>
    </row>
    <row r="82" spans="1:18">
      <c r="A82" t="s">
        <v>239</v>
      </c>
      <c r="B82" t="s">
        <v>240</v>
      </c>
      <c r="C82" t="s">
        <v>31</v>
      </c>
      <c r="D82" t="s">
        <v>32</v>
      </c>
      <c r="E82" s="1">
        <v>85740</v>
      </c>
      <c r="F82" s="2">
        <v>0.18</v>
      </c>
      <c r="G82" t="s">
        <v>64</v>
      </c>
      <c r="H82" s="3">
        <v>45682</v>
      </c>
      <c r="I82" t="s">
        <v>175</v>
      </c>
      <c r="J82" s="4">
        <v>17</v>
      </c>
      <c r="K82" t="s">
        <v>61</v>
      </c>
      <c r="M82" t="s">
        <v>36</v>
      </c>
      <c r="N82" t="s">
        <v>27</v>
      </c>
      <c r="O82" s="1">
        <f>PipelineTable[[#This Row],[DealValue]]*PipelineTable[[#This Row],[Probability]]</f>
        <v>15433.199999999999</v>
      </c>
      <c r="P82" s="1" cm="1">
        <f t="array" ref="P8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1666.6666666666667</v>
      </c>
      <c r="Q82" s="5" cm="1">
        <f t="array" ref="Q8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51.443999999999996</v>
      </c>
      <c r="R82" s="4">
        <f ca="1">MAX(0,TODAY()-PipelineTable[[#This Row],[LastContactDate]]-14)</f>
        <v>344</v>
      </c>
    </row>
    <row r="83" spans="1:18">
      <c r="A83" t="s">
        <v>241</v>
      </c>
      <c r="B83" t="s">
        <v>242</v>
      </c>
      <c r="C83" t="s">
        <v>57</v>
      </c>
      <c r="D83" t="s">
        <v>40</v>
      </c>
      <c r="E83" s="1">
        <v>83295</v>
      </c>
      <c r="F83" s="2">
        <v>0.64</v>
      </c>
      <c r="G83" t="s">
        <v>82</v>
      </c>
      <c r="H83" s="3">
        <v>45835</v>
      </c>
      <c r="I83" t="s">
        <v>131</v>
      </c>
      <c r="J83" s="4">
        <v>40</v>
      </c>
      <c r="K83" t="s">
        <v>98</v>
      </c>
      <c r="M83" t="s">
        <v>49</v>
      </c>
      <c r="N83" t="s">
        <v>28</v>
      </c>
      <c r="O83" s="1">
        <f>PipelineTable[[#This Row],[DealValue]]*PipelineTable[[#This Row],[Probability]]</f>
        <v>53308.800000000003</v>
      </c>
      <c r="P83" s="1" cm="1">
        <f t="array" ref="P8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234.375</v>
      </c>
      <c r="Q83" s="5" cm="1">
        <f t="array" ref="Q8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355.392</v>
      </c>
      <c r="R83" s="4">
        <f ca="1">MAX(0,TODAY()-PipelineTable[[#This Row],[LastContactDate]]-14)</f>
        <v>191</v>
      </c>
    </row>
    <row r="84" spans="1:18">
      <c r="A84" t="s">
        <v>243</v>
      </c>
      <c r="B84" t="s">
        <v>244</v>
      </c>
      <c r="C84" t="s">
        <v>73</v>
      </c>
      <c r="D84" t="s">
        <v>53</v>
      </c>
      <c r="E84" s="1">
        <v>74343</v>
      </c>
      <c r="F84" s="2">
        <v>0.83</v>
      </c>
      <c r="G84" t="s">
        <v>82</v>
      </c>
      <c r="H84" s="3">
        <v>45688</v>
      </c>
      <c r="J84" s="4">
        <v>54</v>
      </c>
      <c r="K84" t="s">
        <v>102</v>
      </c>
      <c r="M84" t="s">
        <v>36</v>
      </c>
      <c r="N84" t="s">
        <v>44</v>
      </c>
      <c r="O84" s="1">
        <f>PipelineTable[[#This Row],[DealValue]]*PipelineTable[[#This Row],[Probability]]</f>
        <v>61704.689999999995</v>
      </c>
      <c r="P84" s="1" cm="1">
        <f t="array" ref="P8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240.96385542168676</v>
      </c>
      <c r="Q84" s="5" cm="1">
        <f t="array" ref="Q8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308.52344999999997</v>
      </c>
      <c r="R84" s="4">
        <f ca="1">MAX(0,TODAY()-PipelineTable[[#This Row],[LastContactDate]]-14)</f>
        <v>338</v>
      </c>
    </row>
    <row r="85" spans="1:18">
      <c r="A85" t="s">
        <v>245</v>
      </c>
      <c r="B85" t="s">
        <v>246</v>
      </c>
      <c r="C85" t="s">
        <v>73</v>
      </c>
      <c r="D85" t="s">
        <v>40</v>
      </c>
      <c r="E85" s="1">
        <v>58539</v>
      </c>
      <c r="F85" s="2">
        <v>0.44</v>
      </c>
      <c r="G85" t="s">
        <v>54</v>
      </c>
      <c r="H85" s="3">
        <v>45996</v>
      </c>
      <c r="I85" t="s">
        <v>131</v>
      </c>
      <c r="J85" s="4">
        <v>14</v>
      </c>
      <c r="K85" t="s">
        <v>43</v>
      </c>
      <c r="M85" t="s">
        <v>26</v>
      </c>
      <c r="N85" t="s">
        <v>37</v>
      </c>
      <c r="O85" s="1">
        <f>PipelineTable[[#This Row],[DealValue]]*PipelineTable[[#This Row],[Probability]]</f>
        <v>25757.16</v>
      </c>
      <c r="P85" s="1" cm="1">
        <f t="array" ref="P8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227.27272727272728</v>
      </c>
      <c r="Q85" s="5" cm="1">
        <f t="array" ref="Q8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257.57159999999999</v>
      </c>
      <c r="R85" s="4">
        <f ca="1">MAX(0,TODAY()-PipelineTable[[#This Row],[LastContactDate]]-14)</f>
        <v>30</v>
      </c>
    </row>
    <row r="86" spans="1:18">
      <c r="A86" t="s">
        <v>247</v>
      </c>
      <c r="B86" t="s">
        <v>117</v>
      </c>
      <c r="C86" t="s">
        <v>31</v>
      </c>
      <c r="D86" t="s">
        <v>40</v>
      </c>
      <c r="E86" s="1">
        <v>20257</v>
      </c>
      <c r="F86" s="2">
        <v>0.59</v>
      </c>
      <c r="G86" t="s">
        <v>82</v>
      </c>
      <c r="H86" s="3">
        <v>45993</v>
      </c>
      <c r="I86" t="s">
        <v>42</v>
      </c>
      <c r="J86" s="4">
        <v>27</v>
      </c>
      <c r="K86" t="s">
        <v>65</v>
      </c>
      <c r="M86" t="s">
        <v>49</v>
      </c>
      <c r="N86" t="s">
        <v>44</v>
      </c>
      <c r="O86" s="1">
        <f>PipelineTable[[#This Row],[DealValue]]*PipelineTable[[#This Row],[Probability]]</f>
        <v>11951.63</v>
      </c>
      <c r="P86" s="1" cm="1">
        <f t="array" ref="P8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338.98305084745766</v>
      </c>
      <c r="Q86" s="5" cm="1">
        <f t="array" ref="Q8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59.758149999999993</v>
      </c>
      <c r="R86" s="4">
        <f ca="1">MAX(0,TODAY()-PipelineTable[[#This Row],[LastContactDate]]-14)</f>
        <v>33</v>
      </c>
    </row>
    <row r="87" spans="1:18">
      <c r="A87" t="s">
        <v>248</v>
      </c>
      <c r="B87" t="s">
        <v>249</v>
      </c>
      <c r="C87" t="s">
        <v>57</v>
      </c>
      <c r="D87" t="s">
        <v>40</v>
      </c>
      <c r="E87" s="1">
        <v>558636</v>
      </c>
      <c r="F87" s="2">
        <v>0.62</v>
      </c>
      <c r="G87" t="s">
        <v>23</v>
      </c>
      <c r="H87" s="3">
        <v>45815</v>
      </c>
      <c r="I87" t="s">
        <v>83</v>
      </c>
      <c r="J87" s="4">
        <v>36</v>
      </c>
      <c r="K87" t="s">
        <v>43</v>
      </c>
      <c r="M87" t="s">
        <v>49</v>
      </c>
      <c r="N87" t="s">
        <v>37</v>
      </c>
      <c r="O87" s="1">
        <f>PipelineTable[[#This Row],[DealValue]]*PipelineTable[[#This Row],[Probability]]</f>
        <v>346354.32</v>
      </c>
      <c r="P87" s="1" cm="1">
        <f t="array" ref="P8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161.29032258064515</v>
      </c>
      <c r="Q87" s="5" cm="1">
        <f t="array" ref="Q8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3463.5432000000001</v>
      </c>
      <c r="R87" s="4">
        <f ca="1">MAX(0,TODAY()-PipelineTable[[#This Row],[LastContactDate]]-14)</f>
        <v>211</v>
      </c>
    </row>
    <row r="88" spans="1:18">
      <c r="A88" t="s">
        <v>250</v>
      </c>
      <c r="B88" t="s">
        <v>251</v>
      </c>
      <c r="C88" t="s">
        <v>52</v>
      </c>
      <c r="D88" t="s">
        <v>40</v>
      </c>
      <c r="E88" s="1">
        <v>87921</v>
      </c>
      <c r="F88" s="2">
        <v>0.56000000000000005</v>
      </c>
      <c r="G88" t="s">
        <v>33</v>
      </c>
      <c r="H88" s="3">
        <v>45716</v>
      </c>
      <c r="I88" t="s">
        <v>42</v>
      </c>
      <c r="J88" s="4">
        <v>30</v>
      </c>
      <c r="K88" t="s">
        <v>61</v>
      </c>
      <c r="M88" t="s">
        <v>36</v>
      </c>
      <c r="N88" t="s">
        <v>44</v>
      </c>
      <c r="O88" s="1">
        <f>PipelineTable[[#This Row],[DealValue]]*PipelineTable[[#This Row],[Probability]]</f>
        <v>49235.76</v>
      </c>
      <c r="P88" s="1" cm="1">
        <f t="array" ref="P8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357.14285714285711</v>
      </c>
      <c r="Q88" s="5" cm="1">
        <f t="array" ref="Q8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246.17880000000002</v>
      </c>
      <c r="R88" s="4">
        <f ca="1">MAX(0,TODAY()-PipelineTable[[#This Row],[LastContactDate]]-14)</f>
        <v>310</v>
      </c>
    </row>
    <row r="89" spans="1:18">
      <c r="A89" t="s">
        <v>252</v>
      </c>
      <c r="B89" t="s">
        <v>253</v>
      </c>
      <c r="C89" t="s">
        <v>57</v>
      </c>
      <c r="D89" t="s">
        <v>40</v>
      </c>
      <c r="E89" s="1">
        <v>32691</v>
      </c>
      <c r="F89" s="2">
        <v>0.54</v>
      </c>
      <c r="G89" t="s">
        <v>60</v>
      </c>
      <c r="H89" s="3">
        <v>45910</v>
      </c>
      <c r="I89" t="s">
        <v>42</v>
      </c>
      <c r="J89" s="4">
        <v>25</v>
      </c>
      <c r="K89" t="s">
        <v>98</v>
      </c>
      <c r="M89" t="s">
        <v>49</v>
      </c>
      <c r="N89" t="s">
        <v>28</v>
      </c>
      <c r="O89" s="1">
        <f>PipelineTable[[#This Row],[DealValue]]*PipelineTable[[#This Row],[Probability]]</f>
        <v>17653.14</v>
      </c>
      <c r="P89" s="1" cm="1">
        <f t="array" ref="P8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277.77777777777777</v>
      </c>
      <c r="Q89" s="5" cm="1">
        <f t="array" ref="Q8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117.68759999999999</v>
      </c>
      <c r="R89" s="4">
        <f ca="1">MAX(0,TODAY()-PipelineTable[[#This Row],[LastContactDate]]-14)</f>
        <v>116</v>
      </c>
    </row>
    <row r="90" spans="1:18">
      <c r="A90" t="s">
        <v>254</v>
      </c>
      <c r="B90" t="s">
        <v>255</v>
      </c>
      <c r="C90" t="s">
        <v>31</v>
      </c>
      <c r="D90" t="s">
        <v>53</v>
      </c>
      <c r="E90" s="1">
        <v>66913</v>
      </c>
      <c r="F90" s="2">
        <v>0.78</v>
      </c>
      <c r="G90" t="s">
        <v>23</v>
      </c>
      <c r="H90" s="3">
        <v>45954</v>
      </c>
      <c r="I90" t="s">
        <v>88</v>
      </c>
      <c r="J90" s="4">
        <v>14</v>
      </c>
      <c r="K90" t="s">
        <v>61</v>
      </c>
      <c r="M90" t="s">
        <v>49</v>
      </c>
      <c r="N90" t="s">
        <v>28</v>
      </c>
      <c r="O90" s="1">
        <f>PipelineTable[[#This Row],[DealValue]]*PipelineTable[[#This Row],[Probability]]</f>
        <v>52192.14</v>
      </c>
      <c r="P90" s="1" cm="1">
        <f t="array" ref="P9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192.30769230769229</v>
      </c>
      <c r="Q90" s="5" cm="1">
        <f t="array" ref="Q9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347.94760000000002</v>
      </c>
      <c r="R90" s="4">
        <f ca="1">MAX(0,TODAY()-PipelineTable[[#This Row],[LastContactDate]]-14)</f>
        <v>72</v>
      </c>
    </row>
    <row r="91" spans="1:18">
      <c r="A91" t="s">
        <v>256</v>
      </c>
      <c r="B91" t="s">
        <v>257</v>
      </c>
      <c r="C91" t="s">
        <v>31</v>
      </c>
      <c r="D91" t="s">
        <v>40</v>
      </c>
      <c r="E91" s="1">
        <v>148045</v>
      </c>
      <c r="F91" s="2">
        <v>0.54</v>
      </c>
      <c r="G91" t="s">
        <v>54</v>
      </c>
      <c r="H91" s="3">
        <v>45807</v>
      </c>
      <c r="I91" t="s">
        <v>42</v>
      </c>
      <c r="J91" s="4">
        <v>9</v>
      </c>
      <c r="K91" t="s">
        <v>43</v>
      </c>
      <c r="M91" t="s">
        <v>36</v>
      </c>
      <c r="N91" t="s">
        <v>44</v>
      </c>
      <c r="O91" s="1">
        <f>PipelineTable[[#This Row],[DealValue]]*PipelineTable[[#This Row],[Probability]]</f>
        <v>79944.3</v>
      </c>
      <c r="P91" s="1" cm="1">
        <f t="array" ref="P9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370.37037037037032</v>
      </c>
      <c r="Q91" s="5" cm="1">
        <f t="array" ref="Q9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399.72149999999999</v>
      </c>
      <c r="R91" s="4">
        <f ca="1">MAX(0,TODAY()-PipelineTable[[#This Row],[LastContactDate]]-14)</f>
        <v>219</v>
      </c>
    </row>
    <row r="92" spans="1:18">
      <c r="A92" t="s">
        <v>258</v>
      </c>
      <c r="B92" t="s">
        <v>259</v>
      </c>
      <c r="C92" t="s">
        <v>52</v>
      </c>
      <c r="D92" t="s">
        <v>40</v>
      </c>
      <c r="E92" s="1">
        <v>82136</v>
      </c>
      <c r="F92" s="2">
        <v>0.61</v>
      </c>
      <c r="G92" t="s">
        <v>64</v>
      </c>
      <c r="H92" s="3">
        <v>45904</v>
      </c>
      <c r="I92" t="s">
        <v>131</v>
      </c>
      <c r="J92" s="4">
        <v>15</v>
      </c>
      <c r="K92" t="s">
        <v>43</v>
      </c>
      <c r="M92" t="s">
        <v>49</v>
      </c>
      <c r="N92" t="s">
        <v>27</v>
      </c>
      <c r="O92" s="1">
        <f>PipelineTable[[#This Row],[DealValue]]*PipelineTable[[#This Row],[Probability]]</f>
        <v>50102.96</v>
      </c>
      <c r="P92" s="1" cm="1">
        <f t="array" ref="P9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491.80327868852459</v>
      </c>
      <c r="Q92" s="5" cm="1">
        <f t="array" ref="Q9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167.00986666666665</v>
      </c>
      <c r="R92" s="4">
        <f ca="1">MAX(0,TODAY()-PipelineTable[[#This Row],[LastContactDate]]-14)</f>
        <v>122</v>
      </c>
    </row>
    <row r="93" spans="1:18">
      <c r="A93" t="s">
        <v>260</v>
      </c>
      <c r="B93" t="s">
        <v>261</v>
      </c>
      <c r="C93" t="s">
        <v>126</v>
      </c>
      <c r="D93" t="s">
        <v>74</v>
      </c>
      <c r="E93" s="1">
        <v>10319</v>
      </c>
      <c r="F93" s="2">
        <v>1</v>
      </c>
      <c r="G93" t="s">
        <v>47</v>
      </c>
      <c r="H93" s="3">
        <v>45842</v>
      </c>
      <c r="I93" t="s">
        <v>110</v>
      </c>
      <c r="J93" s="4">
        <v>37</v>
      </c>
      <c r="K93" t="s">
        <v>35</v>
      </c>
      <c r="M93" t="s">
        <v>49</v>
      </c>
      <c r="N93" t="s">
        <v>27</v>
      </c>
      <c r="O93" s="1">
        <f>PipelineTable[[#This Row],[DealValue]]*PipelineTable[[#This Row],[Probability]]</f>
        <v>10319</v>
      </c>
      <c r="P93" s="1" cm="1">
        <f t="array" ref="P9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300</v>
      </c>
      <c r="Q93" s="5" cm="1">
        <f t="array" ref="Q9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34.396666666666668</v>
      </c>
      <c r="R93" s="4">
        <f ca="1">MAX(0,TODAY()-PipelineTable[[#This Row],[LastContactDate]]-14)</f>
        <v>184</v>
      </c>
    </row>
    <row r="94" spans="1:18">
      <c r="A94" t="s">
        <v>262</v>
      </c>
      <c r="B94" t="s">
        <v>263</v>
      </c>
      <c r="C94" t="s">
        <v>52</v>
      </c>
      <c r="D94" t="s">
        <v>40</v>
      </c>
      <c r="E94" s="1">
        <v>19868</v>
      </c>
      <c r="F94" s="2">
        <v>0.47</v>
      </c>
      <c r="G94" t="s">
        <v>82</v>
      </c>
      <c r="H94" s="3">
        <v>45988</v>
      </c>
      <c r="I94" t="s">
        <v>131</v>
      </c>
      <c r="J94" s="4">
        <v>11</v>
      </c>
      <c r="K94" t="s">
        <v>43</v>
      </c>
      <c r="M94" t="s">
        <v>26</v>
      </c>
      <c r="N94" t="s">
        <v>37</v>
      </c>
      <c r="O94" s="1">
        <f>PipelineTable[[#This Row],[DealValue]]*PipelineTable[[#This Row],[Probability]]</f>
        <v>9337.9599999999991</v>
      </c>
      <c r="P94" s="1" cm="1">
        <f t="array" ref="P9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212.76595744680853</v>
      </c>
      <c r="Q94" s="5" cm="1">
        <f t="array" ref="Q9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93.379599999999996</v>
      </c>
      <c r="R94" s="4">
        <f ca="1">MAX(0,TODAY()-PipelineTable[[#This Row],[LastContactDate]]-14)</f>
        <v>38</v>
      </c>
    </row>
    <row r="95" spans="1:18">
      <c r="A95" t="s">
        <v>264</v>
      </c>
      <c r="B95" t="s">
        <v>265</v>
      </c>
      <c r="C95" t="s">
        <v>31</v>
      </c>
      <c r="D95" t="s">
        <v>40</v>
      </c>
      <c r="E95" s="1">
        <v>59899</v>
      </c>
      <c r="F95" s="2">
        <v>0.41</v>
      </c>
      <c r="G95" t="s">
        <v>23</v>
      </c>
      <c r="H95" s="3">
        <v>45935</v>
      </c>
      <c r="I95" t="s">
        <v>107</v>
      </c>
      <c r="J95" s="4">
        <v>31</v>
      </c>
      <c r="K95" t="s">
        <v>25</v>
      </c>
      <c r="M95" t="s">
        <v>36</v>
      </c>
      <c r="N95" t="s">
        <v>44</v>
      </c>
      <c r="O95" s="1">
        <f>PipelineTable[[#This Row],[DealValue]]*PipelineTable[[#This Row],[Probability]]</f>
        <v>24558.59</v>
      </c>
      <c r="P95" s="1" cm="1">
        <f t="array" ref="P9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487.80487804878049</v>
      </c>
      <c r="Q95" s="5" cm="1">
        <f t="array" ref="Q9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122.79295</v>
      </c>
      <c r="R95" s="4">
        <f ca="1">MAX(0,TODAY()-PipelineTable[[#This Row],[LastContactDate]]-14)</f>
        <v>91</v>
      </c>
    </row>
    <row r="96" spans="1:18">
      <c r="A96" t="s">
        <v>266</v>
      </c>
      <c r="B96" t="s">
        <v>267</v>
      </c>
      <c r="C96" t="s">
        <v>31</v>
      </c>
      <c r="D96" t="s">
        <v>32</v>
      </c>
      <c r="E96" s="1">
        <v>86544</v>
      </c>
      <c r="F96" s="2">
        <v>0.23</v>
      </c>
      <c r="G96" t="s">
        <v>33</v>
      </c>
      <c r="H96" s="3">
        <v>45822</v>
      </c>
      <c r="I96" t="s">
        <v>171</v>
      </c>
      <c r="J96" s="4">
        <v>12</v>
      </c>
      <c r="K96" t="s">
        <v>56</v>
      </c>
      <c r="M96" t="s">
        <v>26</v>
      </c>
      <c r="N96" t="s">
        <v>28</v>
      </c>
      <c r="O96" s="1">
        <f>PipelineTable[[#This Row],[DealValue]]*PipelineTable[[#This Row],[Probability]]</f>
        <v>19905.120000000003</v>
      </c>
      <c r="P96" s="1" cm="1">
        <f t="array" ref="P9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652.17391304347825</v>
      </c>
      <c r="Q96" s="5" cm="1">
        <f t="array" ref="Q9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132.70080000000002</v>
      </c>
      <c r="R96" s="4">
        <f ca="1">MAX(0,TODAY()-PipelineTable[[#This Row],[LastContactDate]]-14)</f>
        <v>204</v>
      </c>
    </row>
    <row r="97" spans="1:18">
      <c r="A97" t="s">
        <v>268</v>
      </c>
      <c r="B97" t="s">
        <v>269</v>
      </c>
      <c r="C97" t="s">
        <v>73</v>
      </c>
      <c r="D97" t="s">
        <v>74</v>
      </c>
      <c r="E97" s="1">
        <v>63965</v>
      </c>
      <c r="F97" s="2">
        <v>1</v>
      </c>
      <c r="G97" t="s">
        <v>33</v>
      </c>
      <c r="H97" s="3">
        <v>45792</v>
      </c>
      <c r="I97" t="s">
        <v>75</v>
      </c>
      <c r="J97" s="4">
        <v>71</v>
      </c>
      <c r="M97" t="s">
        <v>49</v>
      </c>
      <c r="N97" t="s">
        <v>28</v>
      </c>
      <c r="O97" s="1">
        <f>PipelineTable[[#This Row],[DealValue]]*PipelineTable[[#This Row],[Probability]]</f>
        <v>63965</v>
      </c>
      <c r="P97" s="1" cm="1">
        <f t="array" ref="P9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150</v>
      </c>
      <c r="Q97" s="5" cm="1">
        <f t="array" ref="Q9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426.43333333333334</v>
      </c>
      <c r="R97" s="4">
        <f ca="1">MAX(0,TODAY()-PipelineTable[[#This Row],[LastContactDate]]-14)</f>
        <v>234</v>
      </c>
    </row>
    <row r="98" spans="1:18">
      <c r="A98" t="s">
        <v>270</v>
      </c>
      <c r="B98" t="s">
        <v>271</v>
      </c>
      <c r="C98" t="s">
        <v>57</v>
      </c>
      <c r="D98" t="s">
        <v>22</v>
      </c>
      <c r="E98" s="1">
        <v>19491</v>
      </c>
      <c r="F98" s="2">
        <v>0.32</v>
      </c>
      <c r="G98" t="s">
        <v>33</v>
      </c>
      <c r="H98" s="3">
        <v>45977</v>
      </c>
      <c r="I98" t="s">
        <v>68</v>
      </c>
      <c r="J98" s="4">
        <v>29</v>
      </c>
      <c r="K98" t="s">
        <v>43</v>
      </c>
      <c r="M98" t="s">
        <v>26</v>
      </c>
      <c r="N98" t="s">
        <v>37</v>
      </c>
      <c r="O98" s="1">
        <f>PipelineTable[[#This Row],[DealValue]]*PipelineTable[[#This Row],[Probability]]</f>
        <v>6237.12</v>
      </c>
      <c r="P98" s="1" cm="1">
        <f t="array" ref="P9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312.5</v>
      </c>
      <c r="Q98" s="5" cm="1">
        <f t="array" ref="Q9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62.371200000000002</v>
      </c>
      <c r="R98" s="4">
        <f ca="1">MAX(0,TODAY()-PipelineTable[[#This Row],[LastContactDate]]-14)</f>
        <v>49</v>
      </c>
    </row>
    <row r="99" spans="1:18">
      <c r="A99" t="s">
        <v>272</v>
      </c>
      <c r="B99" t="s">
        <v>273</v>
      </c>
      <c r="C99" t="s">
        <v>52</v>
      </c>
      <c r="D99" t="s">
        <v>22</v>
      </c>
      <c r="E99" s="1">
        <v>55262</v>
      </c>
      <c r="F99" s="2">
        <v>0.35</v>
      </c>
      <c r="G99" t="s">
        <v>60</v>
      </c>
      <c r="H99" s="3">
        <v>45754</v>
      </c>
      <c r="I99" t="s">
        <v>101</v>
      </c>
      <c r="J99" s="4">
        <v>8</v>
      </c>
      <c r="K99" t="s">
        <v>95</v>
      </c>
      <c r="M99" t="s">
        <v>36</v>
      </c>
      <c r="N99" t="s">
        <v>28</v>
      </c>
      <c r="O99" s="1">
        <f>PipelineTable[[#This Row],[DealValue]]*PipelineTable[[#This Row],[Probability]]</f>
        <v>19341.699999999997</v>
      </c>
      <c r="P99" s="1" cm="1">
        <f t="array" ref="P9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428.57142857142861</v>
      </c>
      <c r="Q99" s="5" cm="1">
        <f t="array" ref="Q9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128.94466666666665</v>
      </c>
      <c r="R99" s="4">
        <f ca="1">MAX(0,TODAY()-PipelineTable[[#This Row],[LastContactDate]]-14)</f>
        <v>272</v>
      </c>
    </row>
    <row r="100" spans="1:18">
      <c r="A100" t="s">
        <v>274</v>
      </c>
      <c r="B100" t="s">
        <v>275</v>
      </c>
      <c r="C100" t="s">
        <v>126</v>
      </c>
      <c r="D100" t="s">
        <v>32</v>
      </c>
      <c r="E100" s="1">
        <v>22568</v>
      </c>
      <c r="F100" s="2">
        <v>0.23</v>
      </c>
      <c r="G100" t="s">
        <v>23</v>
      </c>
      <c r="H100" s="3">
        <v>45662</v>
      </c>
      <c r="I100" t="s">
        <v>91</v>
      </c>
      <c r="J100" s="4">
        <v>4</v>
      </c>
      <c r="K100" t="s">
        <v>92</v>
      </c>
      <c r="M100" t="s">
        <v>26</v>
      </c>
      <c r="N100" t="s">
        <v>37</v>
      </c>
      <c r="O100" s="1">
        <f>PipelineTable[[#This Row],[DealValue]]*PipelineTable[[#This Row],[Probability]]</f>
        <v>5190.6400000000003</v>
      </c>
      <c r="P100" s="1" cm="1">
        <f t="array" ref="P10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434.78260869565213</v>
      </c>
      <c r="Q100" s="5" cm="1">
        <f t="array" ref="Q10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51.906400000000005</v>
      </c>
      <c r="R100" s="4">
        <f ca="1">MAX(0,TODAY()-PipelineTable[[#This Row],[LastContactDate]]-14)</f>
        <v>364</v>
      </c>
    </row>
    <row r="101" spans="1:18">
      <c r="A101" t="s">
        <v>276</v>
      </c>
      <c r="B101" t="s">
        <v>277</v>
      </c>
      <c r="C101" t="s">
        <v>57</v>
      </c>
      <c r="D101" t="s">
        <v>40</v>
      </c>
      <c r="E101" s="1">
        <v>15593</v>
      </c>
      <c r="F101" s="2">
        <v>0.47</v>
      </c>
      <c r="G101" t="s">
        <v>47</v>
      </c>
      <c r="H101" s="3">
        <v>45876</v>
      </c>
      <c r="I101" t="s">
        <v>42</v>
      </c>
      <c r="J101" s="4">
        <v>38</v>
      </c>
      <c r="K101" t="s">
        <v>98</v>
      </c>
      <c r="M101" t="s">
        <v>26</v>
      </c>
      <c r="N101" t="s">
        <v>44</v>
      </c>
      <c r="O101" s="1">
        <f>PipelineTable[[#This Row],[DealValue]]*PipelineTable[[#This Row],[Probability]]</f>
        <v>7328.71</v>
      </c>
      <c r="P101" s="1" cm="1">
        <f t="array" ref="P10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425.53191489361706</v>
      </c>
      <c r="Q101" s="5" cm="1">
        <f t="array" ref="Q10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36.643549999999998</v>
      </c>
      <c r="R101" s="4">
        <f ca="1">MAX(0,TODAY()-PipelineTable[[#This Row],[LastContactDate]]-14)</f>
        <v>150</v>
      </c>
    </row>
    <row r="102" spans="1:18">
      <c r="A102" t="s">
        <v>278</v>
      </c>
      <c r="B102" t="s">
        <v>279</v>
      </c>
      <c r="C102" t="s">
        <v>73</v>
      </c>
      <c r="D102" t="s">
        <v>22</v>
      </c>
      <c r="E102" s="1">
        <v>4654</v>
      </c>
      <c r="F102" s="2">
        <v>0.37</v>
      </c>
      <c r="G102" t="s">
        <v>33</v>
      </c>
      <c r="H102" s="3">
        <v>45802</v>
      </c>
      <c r="I102" t="s">
        <v>24</v>
      </c>
      <c r="J102" s="4">
        <v>27</v>
      </c>
      <c r="K102" t="s">
        <v>25</v>
      </c>
      <c r="M102" t="s">
        <v>26</v>
      </c>
      <c r="N102" t="s">
        <v>27</v>
      </c>
      <c r="O102" s="1">
        <f>PipelineTable[[#This Row],[DealValue]]*PipelineTable[[#This Row],[Probability]]</f>
        <v>1721.98</v>
      </c>
      <c r="P102" s="1" cm="1">
        <f t="array" ref="P10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810.81081081081084</v>
      </c>
      <c r="Q102" s="5" cm="1">
        <f t="array" ref="Q10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5.7399333333333331</v>
      </c>
      <c r="R102" s="4">
        <f ca="1">MAX(0,TODAY()-PipelineTable[[#This Row],[LastContactDate]]-14)</f>
        <v>224</v>
      </c>
    </row>
    <row r="103" spans="1:18">
      <c r="A103" t="s">
        <v>280</v>
      </c>
      <c r="B103" t="s">
        <v>281</v>
      </c>
      <c r="C103" t="s">
        <v>57</v>
      </c>
      <c r="D103" t="s">
        <v>74</v>
      </c>
      <c r="E103" s="1">
        <v>101026</v>
      </c>
      <c r="F103" s="2">
        <v>1</v>
      </c>
      <c r="G103" t="s">
        <v>23</v>
      </c>
      <c r="H103" s="3">
        <v>45984</v>
      </c>
      <c r="I103" t="s">
        <v>187</v>
      </c>
      <c r="J103" s="4">
        <v>20</v>
      </c>
      <c r="K103" t="s">
        <v>92</v>
      </c>
      <c r="M103" t="s">
        <v>36</v>
      </c>
      <c r="N103" t="s">
        <v>27</v>
      </c>
      <c r="O103" s="1">
        <f>PipelineTable[[#This Row],[DealValue]]*PipelineTable[[#This Row],[Probability]]</f>
        <v>101026</v>
      </c>
      <c r="P103" s="1" cm="1">
        <f t="array" ref="P10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300</v>
      </c>
      <c r="Q103" s="5" cm="1">
        <f t="array" ref="Q10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336.75333333333333</v>
      </c>
      <c r="R103" s="4">
        <f ca="1">MAX(0,TODAY()-PipelineTable[[#This Row],[LastContactDate]]-14)</f>
        <v>42</v>
      </c>
    </row>
    <row r="104" spans="1:18">
      <c r="A104" t="s">
        <v>282</v>
      </c>
      <c r="B104" t="s">
        <v>283</v>
      </c>
      <c r="C104" t="s">
        <v>126</v>
      </c>
      <c r="D104" t="s">
        <v>32</v>
      </c>
      <c r="E104" s="1">
        <v>21761</v>
      </c>
      <c r="F104" s="2">
        <v>0.23</v>
      </c>
      <c r="G104" t="s">
        <v>54</v>
      </c>
      <c r="H104" s="3">
        <v>45939</v>
      </c>
      <c r="I104" t="s">
        <v>171</v>
      </c>
      <c r="J104" s="4">
        <v>16</v>
      </c>
      <c r="K104" t="s">
        <v>56</v>
      </c>
      <c r="M104" t="s">
        <v>26</v>
      </c>
      <c r="N104" t="s">
        <v>44</v>
      </c>
      <c r="O104" s="1">
        <f>PipelineTable[[#This Row],[DealValue]]*PipelineTable[[#This Row],[Probability]]</f>
        <v>5005.0300000000007</v>
      </c>
      <c r="P104" s="1" cm="1">
        <f t="array" ref="P10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869.56521739130426</v>
      </c>
      <c r="Q104" s="5" cm="1">
        <f t="array" ref="Q10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25.025150000000004</v>
      </c>
      <c r="R104" s="4">
        <f ca="1">MAX(0,TODAY()-PipelineTable[[#This Row],[LastContactDate]]-14)</f>
        <v>87</v>
      </c>
    </row>
    <row r="105" spans="1:18">
      <c r="A105" t="s">
        <v>284</v>
      </c>
      <c r="B105" t="s">
        <v>285</v>
      </c>
      <c r="C105" t="s">
        <v>126</v>
      </c>
      <c r="D105" t="s">
        <v>78</v>
      </c>
      <c r="E105" s="1">
        <v>46977</v>
      </c>
      <c r="F105" s="2">
        <v>0.17</v>
      </c>
      <c r="G105" t="s">
        <v>60</v>
      </c>
      <c r="H105" s="3">
        <v>45944</v>
      </c>
      <c r="J105" s="4">
        <v>24</v>
      </c>
      <c r="K105" t="s">
        <v>25</v>
      </c>
      <c r="L105" t="s">
        <v>114</v>
      </c>
      <c r="M105" t="s">
        <v>26</v>
      </c>
      <c r="N105" t="s">
        <v>28</v>
      </c>
      <c r="O105" s="1">
        <f>PipelineTable[[#This Row],[DealValue]]*PipelineTable[[#This Row],[Probability]]</f>
        <v>7986.09</v>
      </c>
      <c r="P105" s="1" cm="1">
        <f t="array" ref="P10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882.35294117647049</v>
      </c>
      <c r="Q105" s="5" cm="1">
        <f t="array" ref="Q10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53.240600000000001</v>
      </c>
      <c r="R105" s="4">
        <f ca="1">MAX(0,TODAY()-PipelineTable[[#This Row],[LastContactDate]]-14)</f>
        <v>82</v>
      </c>
    </row>
    <row r="106" spans="1:18">
      <c r="A106" t="s">
        <v>286</v>
      </c>
      <c r="B106" t="s">
        <v>211</v>
      </c>
      <c r="C106" t="s">
        <v>21</v>
      </c>
      <c r="D106" t="s">
        <v>74</v>
      </c>
      <c r="E106" s="1">
        <v>212672</v>
      </c>
      <c r="F106" s="2">
        <v>1</v>
      </c>
      <c r="G106" t="s">
        <v>33</v>
      </c>
      <c r="H106" s="3">
        <v>45716</v>
      </c>
      <c r="I106" t="s">
        <v>75</v>
      </c>
      <c r="J106" s="4">
        <v>54</v>
      </c>
      <c r="K106" t="s">
        <v>56</v>
      </c>
      <c r="M106" t="s">
        <v>49</v>
      </c>
      <c r="N106" t="s">
        <v>28</v>
      </c>
      <c r="O106" s="1">
        <f>PipelineTable[[#This Row],[DealValue]]*PipelineTable[[#This Row],[Probability]]</f>
        <v>212672</v>
      </c>
      <c r="P106" s="1" cm="1">
        <f t="array" ref="P10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150</v>
      </c>
      <c r="Q106" s="5" cm="1">
        <f t="array" ref="Q10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1417.8133333333333</v>
      </c>
      <c r="R106" s="4">
        <f ca="1">MAX(0,TODAY()-PipelineTable[[#This Row],[LastContactDate]]-14)</f>
        <v>310</v>
      </c>
    </row>
    <row r="107" spans="1:18">
      <c r="A107" t="s">
        <v>287</v>
      </c>
      <c r="B107" t="s">
        <v>288</v>
      </c>
      <c r="C107" t="s">
        <v>126</v>
      </c>
      <c r="D107" t="s">
        <v>32</v>
      </c>
      <c r="E107" s="1">
        <v>11131</v>
      </c>
      <c r="F107" s="2">
        <v>0.14000000000000001</v>
      </c>
      <c r="G107" t="s">
        <v>47</v>
      </c>
      <c r="H107" s="3">
        <v>45716</v>
      </c>
      <c r="I107" t="s">
        <v>34</v>
      </c>
      <c r="J107" s="4">
        <v>19</v>
      </c>
      <c r="K107" t="s">
        <v>61</v>
      </c>
      <c r="M107" t="s">
        <v>49</v>
      </c>
      <c r="N107" t="s">
        <v>37</v>
      </c>
      <c r="O107" s="1">
        <f>PipelineTable[[#This Row],[DealValue]]*PipelineTable[[#This Row],[Probability]]</f>
        <v>1558.3400000000001</v>
      </c>
      <c r="P107" s="1" cm="1">
        <f t="array" ref="P10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714.28571428571422</v>
      </c>
      <c r="Q107" s="5" cm="1">
        <f t="array" ref="Q10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15.583400000000001</v>
      </c>
      <c r="R107" s="4">
        <f ca="1">MAX(0,TODAY()-PipelineTable[[#This Row],[LastContactDate]]-14)</f>
        <v>310</v>
      </c>
    </row>
    <row r="108" spans="1:18">
      <c r="A108" t="s">
        <v>289</v>
      </c>
      <c r="B108" t="s">
        <v>290</v>
      </c>
      <c r="C108" t="s">
        <v>31</v>
      </c>
      <c r="D108" t="s">
        <v>74</v>
      </c>
      <c r="E108" s="1">
        <v>18903</v>
      </c>
      <c r="F108" s="2">
        <v>1</v>
      </c>
      <c r="G108" t="s">
        <v>82</v>
      </c>
      <c r="H108" s="3">
        <v>45927</v>
      </c>
      <c r="I108" t="s">
        <v>75</v>
      </c>
      <c r="J108" s="4">
        <v>53</v>
      </c>
      <c r="K108" t="s">
        <v>102</v>
      </c>
      <c r="M108" t="s">
        <v>26</v>
      </c>
      <c r="N108" t="s">
        <v>44</v>
      </c>
      <c r="O108" s="1">
        <f>PipelineTable[[#This Row],[DealValue]]*PipelineTable[[#This Row],[Probability]]</f>
        <v>18903</v>
      </c>
      <c r="P108" s="1" cm="1">
        <f t="array" ref="P10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200</v>
      </c>
      <c r="Q108" s="5" cm="1">
        <f t="array" ref="Q10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94.515000000000001</v>
      </c>
      <c r="R108" s="4">
        <f ca="1">MAX(0,TODAY()-PipelineTable[[#This Row],[LastContactDate]]-14)</f>
        <v>99</v>
      </c>
    </row>
    <row r="109" spans="1:18">
      <c r="A109" t="s">
        <v>291</v>
      </c>
      <c r="B109" t="s">
        <v>292</v>
      </c>
      <c r="C109" t="s">
        <v>73</v>
      </c>
      <c r="D109" t="s">
        <v>22</v>
      </c>
      <c r="E109" s="1">
        <v>72796</v>
      </c>
      <c r="F109" s="2">
        <v>0.44</v>
      </c>
      <c r="G109" t="s">
        <v>23</v>
      </c>
      <c r="H109" s="3">
        <v>45834</v>
      </c>
      <c r="I109" t="s">
        <v>68</v>
      </c>
      <c r="J109" s="4">
        <v>23</v>
      </c>
      <c r="K109" t="s">
        <v>102</v>
      </c>
      <c r="M109" t="s">
        <v>26</v>
      </c>
      <c r="N109" t="s">
        <v>37</v>
      </c>
      <c r="O109" s="1">
        <f>PipelineTable[[#This Row],[DealValue]]*PipelineTable[[#This Row],[Probability]]</f>
        <v>32030.240000000002</v>
      </c>
      <c r="P109" s="1" cm="1">
        <f t="array" ref="P10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227.27272727272728</v>
      </c>
      <c r="Q109" s="5" cm="1">
        <f t="array" ref="Q10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320.30240000000003</v>
      </c>
      <c r="R109" s="4">
        <f ca="1">MAX(0,TODAY()-PipelineTable[[#This Row],[LastContactDate]]-14)</f>
        <v>192</v>
      </c>
    </row>
    <row r="110" spans="1:18">
      <c r="A110" t="s">
        <v>293</v>
      </c>
      <c r="B110" t="s">
        <v>294</v>
      </c>
      <c r="C110" t="s">
        <v>31</v>
      </c>
      <c r="D110" t="s">
        <v>32</v>
      </c>
      <c r="E110" s="1">
        <v>1057</v>
      </c>
      <c r="F110" s="2">
        <v>0.17</v>
      </c>
      <c r="G110" t="s">
        <v>23</v>
      </c>
      <c r="H110" s="3">
        <v>45990</v>
      </c>
      <c r="I110" t="s">
        <v>34</v>
      </c>
      <c r="J110" s="4">
        <v>10</v>
      </c>
      <c r="K110" t="s">
        <v>25</v>
      </c>
      <c r="M110" t="s">
        <v>49</v>
      </c>
      <c r="N110" t="s">
        <v>27</v>
      </c>
      <c r="O110" s="1">
        <f>PipelineTable[[#This Row],[DealValue]]*PipelineTable[[#This Row],[Probability]]</f>
        <v>179.69000000000003</v>
      </c>
      <c r="P110" s="1" cm="1">
        <f t="array" ref="P11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1764.705882352941</v>
      </c>
      <c r="Q110" s="5" cm="1">
        <f t="array" ref="Q11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0.59896666666666676</v>
      </c>
      <c r="R110" s="4">
        <f ca="1">MAX(0,TODAY()-PipelineTable[[#This Row],[LastContactDate]]-14)</f>
        <v>36</v>
      </c>
    </row>
    <row r="111" spans="1:18">
      <c r="A111" t="s">
        <v>295</v>
      </c>
      <c r="B111" t="s">
        <v>296</v>
      </c>
      <c r="C111" t="s">
        <v>52</v>
      </c>
      <c r="D111" t="s">
        <v>22</v>
      </c>
      <c r="E111" s="1">
        <v>1439</v>
      </c>
      <c r="F111" s="2">
        <v>0.37</v>
      </c>
      <c r="G111" t="s">
        <v>33</v>
      </c>
      <c r="H111" s="3">
        <v>45995</v>
      </c>
      <c r="I111" t="s">
        <v>24</v>
      </c>
      <c r="J111" s="4">
        <v>18</v>
      </c>
      <c r="K111" t="s">
        <v>102</v>
      </c>
      <c r="M111" t="s">
        <v>26</v>
      </c>
      <c r="N111" t="s">
        <v>44</v>
      </c>
      <c r="O111" s="1">
        <f>PipelineTable[[#This Row],[DealValue]]*PipelineTable[[#This Row],[Probability]]</f>
        <v>532.42999999999995</v>
      </c>
      <c r="P111" s="1" cm="1">
        <f t="array" ref="P11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540.54054054054052</v>
      </c>
      <c r="Q111" s="5" cm="1">
        <f t="array" ref="Q11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2.6621499999999996</v>
      </c>
      <c r="R111" s="4">
        <f ca="1">MAX(0,TODAY()-PipelineTable[[#This Row],[LastContactDate]]-14)</f>
        <v>31</v>
      </c>
    </row>
    <row r="112" spans="1:18">
      <c r="A112" t="s">
        <v>297</v>
      </c>
      <c r="B112" t="s">
        <v>298</v>
      </c>
      <c r="C112" t="s">
        <v>21</v>
      </c>
      <c r="D112" t="s">
        <v>53</v>
      </c>
      <c r="E112" s="1">
        <v>22798</v>
      </c>
      <c r="F112" s="2">
        <v>0.68</v>
      </c>
      <c r="G112" t="s">
        <v>60</v>
      </c>
      <c r="H112" s="3">
        <v>45760</v>
      </c>
      <c r="I112" t="s">
        <v>55</v>
      </c>
      <c r="J112" s="4">
        <v>14</v>
      </c>
      <c r="K112" t="s">
        <v>61</v>
      </c>
      <c r="M112" t="s">
        <v>26</v>
      </c>
      <c r="N112" t="s">
        <v>44</v>
      </c>
      <c r="O112" s="1">
        <f>PipelineTable[[#This Row],[DealValue]]*PipelineTable[[#This Row],[Probability]]</f>
        <v>15502.640000000001</v>
      </c>
      <c r="P112" s="1" cm="1">
        <f t="array" ref="P11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294.11764705882354</v>
      </c>
      <c r="Q112" s="5" cm="1">
        <f t="array" ref="Q11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77.513200000000012</v>
      </c>
      <c r="R112" s="4">
        <f ca="1">MAX(0,TODAY()-PipelineTable[[#This Row],[LastContactDate]]-14)</f>
        <v>266</v>
      </c>
    </row>
    <row r="113" spans="1:18">
      <c r="A113" t="s">
        <v>299</v>
      </c>
      <c r="B113" t="s">
        <v>300</v>
      </c>
      <c r="C113" t="s">
        <v>126</v>
      </c>
      <c r="D113" t="s">
        <v>22</v>
      </c>
      <c r="E113" s="1">
        <v>232171</v>
      </c>
      <c r="F113" s="2">
        <v>0.28999999999999998</v>
      </c>
      <c r="G113" t="s">
        <v>64</v>
      </c>
      <c r="H113" s="3">
        <v>45679</v>
      </c>
      <c r="I113" t="s">
        <v>192</v>
      </c>
      <c r="J113" s="4">
        <v>8</v>
      </c>
      <c r="K113" t="s">
        <v>61</v>
      </c>
      <c r="M113" t="s">
        <v>49</v>
      </c>
      <c r="N113" t="s">
        <v>44</v>
      </c>
      <c r="O113" s="1">
        <f>PipelineTable[[#This Row],[DealValue]]*PipelineTable[[#This Row],[Probability]]</f>
        <v>67329.59</v>
      </c>
      <c r="P113" s="1" cm="1">
        <f t="array" ref="P11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689.65517241379314</v>
      </c>
      <c r="Q113" s="5" cm="1">
        <f t="array" ref="Q11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336.64794999999998</v>
      </c>
      <c r="R113" s="4">
        <f ca="1">MAX(0,TODAY()-PipelineTable[[#This Row],[LastContactDate]]-14)</f>
        <v>347</v>
      </c>
    </row>
    <row r="114" spans="1:18">
      <c r="A114" t="s">
        <v>301</v>
      </c>
      <c r="B114" t="s">
        <v>302</v>
      </c>
      <c r="C114" t="s">
        <v>52</v>
      </c>
      <c r="D114" t="s">
        <v>40</v>
      </c>
      <c r="E114" s="1">
        <v>19028</v>
      </c>
      <c r="F114" s="2">
        <v>0.47</v>
      </c>
      <c r="G114" t="s">
        <v>33</v>
      </c>
      <c r="H114" s="3">
        <v>45728</v>
      </c>
      <c r="I114" t="s">
        <v>161</v>
      </c>
      <c r="J114" s="4">
        <v>21</v>
      </c>
      <c r="K114" t="s">
        <v>25</v>
      </c>
      <c r="M114" t="s">
        <v>26</v>
      </c>
      <c r="N114" t="s">
        <v>28</v>
      </c>
      <c r="O114" s="1">
        <f>PipelineTable[[#This Row],[DealValue]]*PipelineTable[[#This Row],[Probability]]</f>
        <v>8943.16</v>
      </c>
      <c r="P114" s="1" cm="1">
        <f t="array" ref="P11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319.14893617021278</v>
      </c>
      <c r="Q114" s="5" cm="1">
        <f t="array" ref="Q11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59.621066666666664</v>
      </c>
      <c r="R114" s="4">
        <f ca="1">MAX(0,TODAY()-PipelineTable[[#This Row],[LastContactDate]]-14)</f>
        <v>298</v>
      </c>
    </row>
    <row r="115" spans="1:18">
      <c r="A115" t="s">
        <v>303</v>
      </c>
      <c r="B115" t="s">
        <v>304</v>
      </c>
      <c r="C115" t="s">
        <v>126</v>
      </c>
      <c r="D115" t="s">
        <v>53</v>
      </c>
      <c r="E115" s="1">
        <v>9007</v>
      </c>
      <c r="F115" s="2">
        <v>0.77</v>
      </c>
      <c r="G115" t="s">
        <v>82</v>
      </c>
      <c r="H115" s="3">
        <v>45793</v>
      </c>
      <c r="J115" s="4">
        <v>59</v>
      </c>
      <c r="K115" t="s">
        <v>61</v>
      </c>
      <c r="M115" t="s">
        <v>49</v>
      </c>
      <c r="N115" t="s">
        <v>44</v>
      </c>
      <c r="O115" s="1">
        <f>PipelineTable[[#This Row],[DealValue]]*PipelineTable[[#This Row],[Probability]]</f>
        <v>6935.39</v>
      </c>
      <c r="P115" s="1" cm="1">
        <f t="array" ref="P11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259.74025974025972</v>
      </c>
      <c r="Q115" s="5" cm="1">
        <f t="array" ref="Q11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34.676950000000005</v>
      </c>
      <c r="R115" s="4">
        <f ca="1">MAX(0,TODAY()-PipelineTable[[#This Row],[LastContactDate]]-14)</f>
        <v>233</v>
      </c>
    </row>
    <row r="116" spans="1:18">
      <c r="A116" t="s">
        <v>254</v>
      </c>
      <c r="B116" t="s">
        <v>305</v>
      </c>
      <c r="C116" t="s">
        <v>73</v>
      </c>
      <c r="D116" t="s">
        <v>78</v>
      </c>
      <c r="E116" s="1">
        <v>15971</v>
      </c>
      <c r="F116" s="2">
        <v>0.13</v>
      </c>
      <c r="G116" t="s">
        <v>54</v>
      </c>
      <c r="H116" s="3">
        <v>45982</v>
      </c>
      <c r="I116" t="s">
        <v>306</v>
      </c>
      <c r="J116" s="4">
        <v>67</v>
      </c>
      <c r="K116" t="s">
        <v>35</v>
      </c>
      <c r="L116" t="s">
        <v>307</v>
      </c>
      <c r="M116" t="s">
        <v>49</v>
      </c>
      <c r="N116" t="s">
        <v>27</v>
      </c>
      <c r="O116" s="1">
        <f>PipelineTable[[#This Row],[DealValue]]*PipelineTable[[#This Row],[Probability]]</f>
        <v>2076.23</v>
      </c>
      <c r="P116" s="1" cm="1">
        <f t="array" ref="P11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2307.6923076923076</v>
      </c>
      <c r="Q116" s="5" cm="1">
        <f t="array" ref="Q11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6.9207666666666663</v>
      </c>
      <c r="R116" s="4">
        <f ca="1">MAX(0,TODAY()-PipelineTable[[#This Row],[LastContactDate]]-14)</f>
        <v>44</v>
      </c>
    </row>
    <row r="117" spans="1:18">
      <c r="A117" t="s">
        <v>308</v>
      </c>
      <c r="B117" t="s">
        <v>309</v>
      </c>
      <c r="C117" t="s">
        <v>52</v>
      </c>
      <c r="D117" t="s">
        <v>53</v>
      </c>
      <c r="E117" s="1">
        <v>62674</v>
      </c>
      <c r="F117" s="2">
        <v>0.84</v>
      </c>
      <c r="G117" t="s">
        <v>60</v>
      </c>
      <c r="H117" s="3">
        <v>45711</v>
      </c>
      <c r="I117" t="s">
        <v>88</v>
      </c>
      <c r="J117" s="4">
        <v>45</v>
      </c>
      <c r="K117" t="s">
        <v>43</v>
      </c>
      <c r="M117" t="s">
        <v>36</v>
      </c>
      <c r="N117" t="s">
        <v>44</v>
      </c>
      <c r="O117" s="1">
        <f>PipelineTable[[#This Row],[DealValue]]*PipelineTable[[#This Row],[Probability]]</f>
        <v>52646.159999999996</v>
      </c>
      <c r="P117" s="1" cm="1">
        <f t="array" ref="P11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238.0952380952381</v>
      </c>
      <c r="Q117" s="5" cm="1">
        <f t="array" ref="Q11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263.23079999999999</v>
      </c>
      <c r="R117" s="4">
        <f ca="1">MAX(0,TODAY()-PipelineTable[[#This Row],[LastContactDate]]-14)</f>
        <v>315</v>
      </c>
    </row>
    <row r="118" spans="1:18">
      <c r="A118" t="s">
        <v>310</v>
      </c>
      <c r="B118" t="s">
        <v>311</v>
      </c>
      <c r="C118" t="s">
        <v>21</v>
      </c>
      <c r="D118" t="s">
        <v>32</v>
      </c>
      <c r="E118" s="1">
        <v>30099</v>
      </c>
      <c r="F118" s="2">
        <v>0.26</v>
      </c>
      <c r="G118" t="s">
        <v>54</v>
      </c>
      <c r="H118" s="3">
        <v>45793</v>
      </c>
      <c r="I118" t="s">
        <v>171</v>
      </c>
      <c r="J118" s="4">
        <v>12</v>
      </c>
      <c r="K118" t="s">
        <v>25</v>
      </c>
      <c r="M118" t="s">
        <v>36</v>
      </c>
      <c r="N118" t="s">
        <v>44</v>
      </c>
      <c r="O118" s="1">
        <f>PipelineTable[[#This Row],[DealValue]]*PipelineTable[[#This Row],[Probability]]</f>
        <v>7825.7400000000007</v>
      </c>
      <c r="P118" s="1" cm="1">
        <f t="array" ref="P11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769.23076923076917</v>
      </c>
      <c r="Q118" s="5" cm="1">
        <f t="array" ref="Q11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39.128700000000002</v>
      </c>
      <c r="R118" s="4">
        <f ca="1">MAX(0,TODAY()-PipelineTable[[#This Row],[LastContactDate]]-14)</f>
        <v>233</v>
      </c>
    </row>
    <row r="119" spans="1:18">
      <c r="A119" t="s">
        <v>312</v>
      </c>
      <c r="B119" t="s">
        <v>313</v>
      </c>
      <c r="C119" t="s">
        <v>73</v>
      </c>
      <c r="D119" t="s">
        <v>74</v>
      </c>
      <c r="E119" s="1">
        <v>235793</v>
      </c>
      <c r="F119" s="2">
        <v>1</v>
      </c>
      <c r="G119" t="s">
        <v>54</v>
      </c>
      <c r="H119" s="3">
        <v>45918</v>
      </c>
      <c r="I119" t="s">
        <v>136</v>
      </c>
      <c r="J119" s="4">
        <v>46</v>
      </c>
      <c r="K119" t="s">
        <v>95</v>
      </c>
      <c r="M119" t="s">
        <v>36</v>
      </c>
      <c r="N119" t="s">
        <v>27</v>
      </c>
      <c r="O119" s="1">
        <f>PipelineTable[[#This Row],[DealValue]]*PipelineTable[[#This Row],[Probability]]</f>
        <v>235793</v>
      </c>
      <c r="P119" s="1" cm="1">
        <f t="array" ref="P11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300</v>
      </c>
      <c r="Q119" s="5" cm="1">
        <f t="array" ref="Q11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785.97666666666669</v>
      </c>
      <c r="R119" s="4">
        <f ca="1">MAX(0,TODAY()-PipelineTable[[#This Row],[LastContactDate]]-14)</f>
        <v>108</v>
      </c>
    </row>
    <row r="120" spans="1:18">
      <c r="A120" t="s">
        <v>314</v>
      </c>
      <c r="B120" t="s">
        <v>315</v>
      </c>
      <c r="C120" t="s">
        <v>52</v>
      </c>
      <c r="D120" t="s">
        <v>40</v>
      </c>
      <c r="E120" s="1">
        <v>5362</v>
      </c>
      <c r="F120" s="2">
        <v>0.54</v>
      </c>
      <c r="G120" t="s">
        <v>82</v>
      </c>
      <c r="H120" s="3">
        <v>45800</v>
      </c>
      <c r="I120" t="s">
        <v>83</v>
      </c>
      <c r="J120" s="4">
        <v>15</v>
      </c>
      <c r="K120" t="s">
        <v>92</v>
      </c>
      <c r="M120" t="s">
        <v>36</v>
      </c>
      <c r="N120" t="s">
        <v>37</v>
      </c>
      <c r="O120" s="1">
        <f>PipelineTable[[#This Row],[DealValue]]*PipelineTable[[#This Row],[Probability]]</f>
        <v>2895.48</v>
      </c>
      <c r="P120" s="1" cm="1">
        <f t="array" ref="P12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185.18518518518516</v>
      </c>
      <c r="Q120" s="5" cm="1">
        <f t="array" ref="Q12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28.954799999999999</v>
      </c>
      <c r="R120" s="4">
        <f ca="1">MAX(0,TODAY()-PipelineTable[[#This Row],[LastContactDate]]-14)</f>
        <v>226</v>
      </c>
    </row>
    <row r="121" spans="1:18">
      <c r="A121" t="s">
        <v>316</v>
      </c>
      <c r="B121" t="s">
        <v>317</v>
      </c>
      <c r="C121" t="s">
        <v>73</v>
      </c>
      <c r="D121" t="s">
        <v>40</v>
      </c>
      <c r="E121" s="1">
        <v>53662</v>
      </c>
      <c r="F121" s="2">
        <v>0.49</v>
      </c>
      <c r="G121" t="s">
        <v>23</v>
      </c>
      <c r="H121" s="3">
        <v>45727</v>
      </c>
      <c r="I121" t="s">
        <v>42</v>
      </c>
      <c r="J121" s="4">
        <v>13</v>
      </c>
      <c r="K121" t="s">
        <v>95</v>
      </c>
      <c r="M121" t="s">
        <v>26</v>
      </c>
      <c r="N121" t="s">
        <v>44</v>
      </c>
      <c r="O121" s="1">
        <f>PipelineTable[[#This Row],[DealValue]]*PipelineTable[[#This Row],[Probability]]</f>
        <v>26294.38</v>
      </c>
      <c r="P121" s="1" cm="1">
        <f t="array" ref="P12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408.16326530612247</v>
      </c>
      <c r="Q121" s="5" cm="1">
        <f t="array" ref="Q12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131.47190000000001</v>
      </c>
      <c r="R121" s="4">
        <f ca="1">MAX(0,TODAY()-PipelineTable[[#This Row],[LastContactDate]]-14)</f>
        <v>299</v>
      </c>
    </row>
    <row r="122" spans="1:18">
      <c r="A122" t="s">
        <v>318</v>
      </c>
      <c r="B122" t="s">
        <v>296</v>
      </c>
      <c r="C122" t="s">
        <v>21</v>
      </c>
      <c r="D122" t="s">
        <v>40</v>
      </c>
      <c r="E122" s="1">
        <v>13609</v>
      </c>
      <c r="F122" s="2">
        <v>0.56999999999999995</v>
      </c>
      <c r="G122" t="s">
        <v>33</v>
      </c>
      <c r="H122" s="3">
        <v>45714</v>
      </c>
      <c r="I122" t="s">
        <v>107</v>
      </c>
      <c r="J122" s="4">
        <v>39</v>
      </c>
      <c r="K122" t="s">
        <v>35</v>
      </c>
      <c r="M122" t="s">
        <v>36</v>
      </c>
      <c r="N122" t="s">
        <v>27</v>
      </c>
      <c r="O122" s="1">
        <f>PipelineTable[[#This Row],[DealValue]]*PipelineTable[[#This Row],[Probability]]</f>
        <v>7757.1299999999992</v>
      </c>
      <c r="P122" s="1" cm="1">
        <f t="array" ref="P12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526.31578947368428</v>
      </c>
      <c r="Q122" s="5" cm="1">
        <f t="array" ref="Q12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25.857099999999999</v>
      </c>
      <c r="R122" s="4">
        <f ca="1">MAX(0,TODAY()-PipelineTable[[#This Row],[LastContactDate]]-14)</f>
        <v>312</v>
      </c>
    </row>
    <row r="123" spans="1:18">
      <c r="A123" t="s">
        <v>319</v>
      </c>
      <c r="B123" t="s">
        <v>320</v>
      </c>
      <c r="C123" t="s">
        <v>57</v>
      </c>
      <c r="D123" t="s">
        <v>78</v>
      </c>
      <c r="E123" s="1">
        <v>11014</v>
      </c>
      <c r="F123" s="2">
        <v>0.15</v>
      </c>
      <c r="G123" t="s">
        <v>41</v>
      </c>
      <c r="H123" s="3">
        <v>45860</v>
      </c>
      <c r="I123" t="s">
        <v>199</v>
      </c>
      <c r="J123" s="4">
        <v>22</v>
      </c>
      <c r="L123" t="s">
        <v>79</v>
      </c>
      <c r="M123" t="s">
        <v>26</v>
      </c>
      <c r="N123" t="s">
        <v>37</v>
      </c>
      <c r="O123" s="1">
        <f>PipelineTable[[#This Row],[DealValue]]*PipelineTable[[#This Row],[Probability]]</f>
        <v>1652.1</v>
      </c>
      <c r="P123" s="1" cm="1">
        <f t="array" ref="P12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666.66666666666674</v>
      </c>
      <c r="Q123" s="5" cm="1">
        <f t="array" ref="Q12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16.521000000000001</v>
      </c>
      <c r="R123" s="4">
        <f ca="1">MAX(0,TODAY()-PipelineTable[[#This Row],[LastContactDate]]-14)</f>
        <v>166</v>
      </c>
    </row>
    <row r="124" spans="1:18">
      <c r="A124" t="s">
        <v>321</v>
      </c>
      <c r="B124" t="s">
        <v>322</v>
      </c>
      <c r="C124" t="s">
        <v>57</v>
      </c>
      <c r="D124" t="s">
        <v>32</v>
      </c>
      <c r="E124" s="1">
        <v>4753</v>
      </c>
      <c r="F124" s="2">
        <v>0.22</v>
      </c>
      <c r="G124" t="s">
        <v>23</v>
      </c>
      <c r="H124" s="3">
        <v>45744</v>
      </c>
      <c r="I124" t="s">
        <v>91</v>
      </c>
      <c r="J124" s="4">
        <v>17</v>
      </c>
      <c r="K124" t="s">
        <v>25</v>
      </c>
      <c r="M124" t="s">
        <v>49</v>
      </c>
      <c r="N124" t="s">
        <v>44</v>
      </c>
      <c r="O124" s="1">
        <f>PipelineTable[[#This Row],[DealValue]]*PipelineTable[[#This Row],[Probability]]</f>
        <v>1045.6600000000001</v>
      </c>
      <c r="P124" s="1" cm="1">
        <f t="array" ref="P12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909.09090909090912</v>
      </c>
      <c r="Q124" s="5" cm="1">
        <f t="array" ref="Q12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5.2283000000000008</v>
      </c>
      <c r="R124" s="4">
        <f ca="1">MAX(0,TODAY()-PipelineTable[[#This Row],[LastContactDate]]-14)</f>
        <v>282</v>
      </c>
    </row>
    <row r="125" spans="1:18">
      <c r="A125" t="s">
        <v>323</v>
      </c>
      <c r="B125" t="s">
        <v>324</v>
      </c>
      <c r="C125" t="s">
        <v>126</v>
      </c>
      <c r="D125" t="s">
        <v>78</v>
      </c>
      <c r="E125" s="1">
        <v>87267</v>
      </c>
      <c r="F125" s="2">
        <v>0.12</v>
      </c>
      <c r="G125" t="s">
        <v>47</v>
      </c>
      <c r="H125" s="3">
        <v>45979</v>
      </c>
      <c r="I125" t="s">
        <v>306</v>
      </c>
      <c r="J125" s="4">
        <v>19</v>
      </c>
      <c r="K125" t="s">
        <v>102</v>
      </c>
      <c r="L125" t="s">
        <v>79</v>
      </c>
      <c r="M125" t="s">
        <v>49</v>
      </c>
      <c r="N125" t="s">
        <v>44</v>
      </c>
      <c r="O125" s="1">
        <f>PipelineTable[[#This Row],[DealValue]]*PipelineTable[[#This Row],[Probability]]</f>
        <v>10472.039999999999</v>
      </c>
      <c r="P125" s="1" cm="1">
        <f t="array" ref="P12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1666.6666666666667</v>
      </c>
      <c r="Q125" s="5" cm="1">
        <f t="array" ref="Q12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52.360199999999992</v>
      </c>
      <c r="R125" s="4">
        <f ca="1">MAX(0,TODAY()-PipelineTable[[#This Row],[LastContactDate]]-14)</f>
        <v>47</v>
      </c>
    </row>
    <row r="126" spans="1:18">
      <c r="A126" t="s">
        <v>325</v>
      </c>
      <c r="B126" t="s">
        <v>326</v>
      </c>
      <c r="C126" t="s">
        <v>31</v>
      </c>
      <c r="D126" t="s">
        <v>22</v>
      </c>
      <c r="E126" s="1">
        <v>17652</v>
      </c>
      <c r="F126" s="2">
        <v>0.23</v>
      </c>
      <c r="G126" t="s">
        <v>54</v>
      </c>
      <c r="H126" s="3">
        <v>45922</v>
      </c>
      <c r="I126" t="s">
        <v>68</v>
      </c>
      <c r="J126" s="4">
        <v>18</v>
      </c>
      <c r="K126" t="s">
        <v>56</v>
      </c>
      <c r="M126" t="s">
        <v>49</v>
      </c>
      <c r="N126" t="s">
        <v>27</v>
      </c>
      <c r="O126" s="1">
        <f>PipelineTable[[#This Row],[DealValue]]*PipelineTable[[#This Row],[Probability]]</f>
        <v>4059.96</v>
      </c>
      <c r="P126" s="1" cm="1">
        <f t="array" ref="P12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1304.3478260869565</v>
      </c>
      <c r="Q126" s="5" cm="1">
        <f t="array" ref="Q12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13.533200000000001</v>
      </c>
      <c r="R126" s="4">
        <f ca="1">MAX(0,TODAY()-PipelineTable[[#This Row],[LastContactDate]]-14)</f>
        <v>104</v>
      </c>
    </row>
    <row r="127" spans="1:18">
      <c r="A127" t="s">
        <v>327</v>
      </c>
      <c r="B127" t="s">
        <v>328</v>
      </c>
      <c r="C127" t="s">
        <v>31</v>
      </c>
      <c r="D127" t="s">
        <v>32</v>
      </c>
      <c r="E127" s="1">
        <v>196225</v>
      </c>
      <c r="F127" s="2">
        <v>0.12</v>
      </c>
      <c r="G127" t="s">
        <v>47</v>
      </c>
      <c r="H127" s="3">
        <v>45832</v>
      </c>
      <c r="I127" t="s">
        <v>91</v>
      </c>
      <c r="J127" s="4">
        <v>5</v>
      </c>
      <c r="K127" t="s">
        <v>92</v>
      </c>
      <c r="M127" t="s">
        <v>26</v>
      </c>
      <c r="N127" t="s">
        <v>27</v>
      </c>
      <c r="O127" s="1">
        <f>PipelineTable[[#This Row],[DealValue]]*PipelineTable[[#This Row],[Probability]]</f>
        <v>23547</v>
      </c>
      <c r="P127" s="1" cm="1">
        <f t="array" ref="P12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2500</v>
      </c>
      <c r="Q127" s="5" cm="1">
        <f t="array" ref="Q12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78.489999999999995</v>
      </c>
      <c r="R127" s="4">
        <f ca="1">MAX(0,TODAY()-PipelineTable[[#This Row],[LastContactDate]]-14)</f>
        <v>194</v>
      </c>
    </row>
    <row r="128" spans="1:18">
      <c r="A128" t="s">
        <v>329</v>
      </c>
      <c r="B128" t="s">
        <v>330</v>
      </c>
      <c r="C128" t="s">
        <v>73</v>
      </c>
      <c r="D128" t="s">
        <v>22</v>
      </c>
      <c r="E128" s="1">
        <v>35859</v>
      </c>
      <c r="F128" s="2">
        <v>0.38</v>
      </c>
      <c r="G128" t="s">
        <v>54</v>
      </c>
      <c r="H128" s="3">
        <v>45716</v>
      </c>
      <c r="I128" t="s">
        <v>68</v>
      </c>
      <c r="J128" s="4">
        <v>21</v>
      </c>
      <c r="K128" t="s">
        <v>95</v>
      </c>
      <c r="M128" t="s">
        <v>49</v>
      </c>
      <c r="N128" t="s">
        <v>37</v>
      </c>
      <c r="O128" s="1">
        <f>PipelineTable[[#This Row],[DealValue]]*PipelineTable[[#This Row],[Probability]]</f>
        <v>13626.42</v>
      </c>
      <c r="P128" s="1" cm="1">
        <f t="array" ref="P12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263.15789473684208</v>
      </c>
      <c r="Q128" s="5" cm="1">
        <f t="array" ref="Q12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136.26419999999999</v>
      </c>
      <c r="R128" s="4">
        <f ca="1">MAX(0,TODAY()-PipelineTable[[#This Row],[LastContactDate]]-14)</f>
        <v>310</v>
      </c>
    </row>
    <row r="129" spans="1:18">
      <c r="A129" t="s">
        <v>331</v>
      </c>
      <c r="B129" t="s">
        <v>332</v>
      </c>
      <c r="C129" t="s">
        <v>57</v>
      </c>
      <c r="D129" t="s">
        <v>40</v>
      </c>
      <c r="E129" s="1">
        <v>42367</v>
      </c>
      <c r="F129" s="2">
        <v>0.57999999999999996</v>
      </c>
      <c r="G129" t="s">
        <v>41</v>
      </c>
      <c r="H129" s="3">
        <v>45871</v>
      </c>
      <c r="I129" t="s">
        <v>161</v>
      </c>
      <c r="J129" s="4">
        <v>20</v>
      </c>
      <c r="K129" t="s">
        <v>25</v>
      </c>
      <c r="M129" t="s">
        <v>49</v>
      </c>
      <c r="N129" t="s">
        <v>37</v>
      </c>
      <c r="O129" s="1">
        <f>PipelineTable[[#This Row],[DealValue]]*PipelineTable[[#This Row],[Probability]]</f>
        <v>24572.859999999997</v>
      </c>
      <c r="P129" s="1" cm="1">
        <f t="array" ref="P12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172.41379310344828</v>
      </c>
      <c r="Q129" s="5" cm="1">
        <f t="array" ref="Q12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245.72859999999997</v>
      </c>
      <c r="R129" s="4">
        <f ca="1">MAX(0,TODAY()-PipelineTable[[#This Row],[LastContactDate]]-14)</f>
        <v>155</v>
      </c>
    </row>
    <row r="130" spans="1:18">
      <c r="A130" t="s">
        <v>333</v>
      </c>
      <c r="B130" t="s">
        <v>334</v>
      </c>
      <c r="C130" t="s">
        <v>21</v>
      </c>
      <c r="D130" t="s">
        <v>32</v>
      </c>
      <c r="E130" s="1">
        <v>158481</v>
      </c>
      <c r="F130" s="2">
        <v>0.16</v>
      </c>
      <c r="G130" t="s">
        <v>54</v>
      </c>
      <c r="H130" s="3">
        <v>45787</v>
      </c>
      <c r="I130" t="s">
        <v>91</v>
      </c>
      <c r="J130" s="4">
        <v>6</v>
      </c>
      <c r="K130" t="s">
        <v>61</v>
      </c>
      <c r="M130" t="s">
        <v>49</v>
      </c>
      <c r="N130" t="s">
        <v>44</v>
      </c>
      <c r="O130" s="1">
        <f>PipelineTable[[#This Row],[DealValue]]*PipelineTable[[#This Row],[Probability]]</f>
        <v>25356.959999999999</v>
      </c>
      <c r="P130" s="1" cm="1">
        <f t="array" ref="P13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1250</v>
      </c>
      <c r="Q130" s="5" cm="1">
        <f t="array" ref="Q13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126.78479999999999</v>
      </c>
      <c r="R130" s="4">
        <f ca="1">MAX(0,TODAY()-PipelineTable[[#This Row],[LastContactDate]]-14)</f>
        <v>239</v>
      </c>
    </row>
    <row r="131" spans="1:18">
      <c r="A131" t="s">
        <v>335</v>
      </c>
      <c r="B131" t="s">
        <v>336</v>
      </c>
      <c r="C131" t="s">
        <v>31</v>
      </c>
      <c r="D131" t="s">
        <v>22</v>
      </c>
      <c r="E131" s="1">
        <v>132660</v>
      </c>
      <c r="F131" s="2">
        <v>0.41</v>
      </c>
      <c r="G131" t="s">
        <v>23</v>
      </c>
      <c r="H131" s="3">
        <v>45671</v>
      </c>
      <c r="I131" t="s">
        <v>101</v>
      </c>
      <c r="J131" s="4">
        <v>6</v>
      </c>
      <c r="K131" t="s">
        <v>56</v>
      </c>
      <c r="M131" t="s">
        <v>36</v>
      </c>
      <c r="N131" t="s">
        <v>37</v>
      </c>
      <c r="O131" s="1">
        <f>PipelineTable[[#This Row],[DealValue]]*PipelineTable[[#This Row],[Probability]]</f>
        <v>54390.6</v>
      </c>
      <c r="P131" s="1" cm="1">
        <f t="array" ref="P13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243.90243902439025</v>
      </c>
      <c r="Q131" s="5" cm="1">
        <f t="array" ref="Q13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543.90599999999995</v>
      </c>
      <c r="R131" s="4">
        <f ca="1">MAX(0,TODAY()-PipelineTable[[#This Row],[LastContactDate]]-14)</f>
        <v>355</v>
      </c>
    </row>
    <row r="132" spans="1:18">
      <c r="A132" t="s">
        <v>337</v>
      </c>
      <c r="B132" t="s">
        <v>338</v>
      </c>
      <c r="C132" t="s">
        <v>21</v>
      </c>
      <c r="D132" t="s">
        <v>32</v>
      </c>
      <c r="E132" s="1">
        <v>56236</v>
      </c>
      <c r="F132" s="2">
        <v>0.18</v>
      </c>
      <c r="G132" t="s">
        <v>54</v>
      </c>
      <c r="H132" s="3">
        <v>45863</v>
      </c>
      <c r="I132" t="s">
        <v>91</v>
      </c>
      <c r="J132" s="4">
        <v>8</v>
      </c>
      <c r="K132" t="s">
        <v>102</v>
      </c>
      <c r="M132" t="s">
        <v>49</v>
      </c>
      <c r="N132" t="s">
        <v>27</v>
      </c>
      <c r="O132" s="1">
        <f>PipelineTable[[#This Row],[DealValue]]*PipelineTable[[#This Row],[Probability]]</f>
        <v>10122.48</v>
      </c>
      <c r="P132" s="1" cm="1">
        <f t="array" ref="P13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1666.6666666666667</v>
      </c>
      <c r="Q132" s="5" cm="1">
        <f t="array" ref="Q13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33.741599999999998</v>
      </c>
      <c r="R132" s="4">
        <f ca="1">MAX(0,TODAY()-PipelineTable[[#This Row],[LastContactDate]]-14)</f>
        <v>163</v>
      </c>
    </row>
    <row r="133" spans="1:18">
      <c r="A133" t="s">
        <v>339</v>
      </c>
      <c r="B133" t="s">
        <v>39</v>
      </c>
      <c r="C133" t="s">
        <v>21</v>
      </c>
      <c r="D133" t="s">
        <v>32</v>
      </c>
      <c r="E133" s="1">
        <v>187088</v>
      </c>
      <c r="F133" s="2">
        <v>0.16</v>
      </c>
      <c r="G133" t="s">
        <v>41</v>
      </c>
      <c r="H133" s="3">
        <v>45689</v>
      </c>
      <c r="I133" t="s">
        <v>48</v>
      </c>
      <c r="J133" s="4">
        <v>7</v>
      </c>
      <c r="K133" t="s">
        <v>56</v>
      </c>
      <c r="M133" t="s">
        <v>49</v>
      </c>
      <c r="N133" t="s">
        <v>44</v>
      </c>
      <c r="O133" s="1">
        <f>PipelineTable[[#This Row],[DealValue]]*PipelineTable[[#This Row],[Probability]]</f>
        <v>29934.080000000002</v>
      </c>
      <c r="P133" s="1" cm="1">
        <f t="array" ref="P13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1250</v>
      </c>
      <c r="Q133" s="5" cm="1">
        <f t="array" ref="Q13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149.6704</v>
      </c>
      <c r="R133" s="4">
        <f ca="1">MAX(0,TODAY()-PipelineTable[[#This Row],[LastContactDate]]-14)</f>
        <v>337</v>
      </c>
    </row>
    <row r="134" spans="1:18">
      <c r="A134" t="s">
        <v>340</v>
      </c>
      <c r="B134" t="s">
        <v>341</v>
      </c>
      <c r="C134" t="s">
        <v>31</v>
      </c>
      <c r="D134" t="s">
        <v>22</v>
      </c>
      <c r="E134" s="1">
        <v>226752</v>
      </c>
      <c r="F134" s="2">
        <v>0.36</v>
      </c>
      <c r="G134" t="s">
        <v>60</v>
      </c>
      <c r="H134" s="3">
        <v>45673</v>
      </c>
      <c r="I134" t="s">
        <v>24</v>
      </c>
      <c r="J134" s="4">
        <v>12</v>
      </c>
      <c r="K134" t="s">
        <v>102</v>
      </c>
      <c r="M134" t="s">
        <v>36</v>
      </c>
      <c r="N134" t="s">
        <v>27</v>
      </c>
      <c r="O134" s="1">
        <f>PipelineTable[[#This Row],[DealValue]]*PipelineTable[[#This Row],[Probability]]</f>
        <v>81630.720000000001</v>
      </c>
      <c r="P134" s="1" cm="1">
        <f t="array" ref="P13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833.33333333333337</v>
      </c>
      <c r="Q134" s="5" cm="1">
        <f t="array" ref="Q13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272.10239999999999</v>
      </c>
      <c r="R134" s="4">
        <f ca="1">MAX(0,TODAY()-PipelineTable[[#This Row],[LastContactDate]]-14)</f>
        <v>353</v>
      </c>
    </row>
    <row r="135" spans="1:18">
      <c r="A135" t="s">
        <v>342</v>
      </c>
      <c r="B135" t="s">
        <v>343</v>
      </c>
      <c r="C135" t="s">
        <v>57</v>
      </c>
      <c r="D135" t="s">
        <v>53</v>
      </c>
      <c r="E135" s="1">
        <v>14199</v>
      </c>
      <c r="F135" s="2">
        <v>0.72</v>
      </c>
      <c r="G135" t="s">
        <v>41</v>
      </c>
      <c r="H135" s="3">
        <v>45875</v>
      </c>
      <c r="I135" t="s">
        <v>180</v>
      </c>
      <c r="J135" s="4">
        <v>48</v>
      </c>
      <c r="K135" t="s">
        <v>98</v>
      </c>
      <c r="M135" t="s">
        <v>36</v>
      </c>
      <c r="N135" t="s">
        <v>28</v>
      </c>
      <c r="O135" s="1">
        <f>PipelineTable[[#This Row],[DealValue]]*PipelineTable[[#This Row],[Probability]]</f>
        <v>10223.279999999999</v>
      </c>
      <c r="P135" s="1" cm="1">
        <f t="array" ref="P13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208.33333333333334</v>
      </c>
      <c r="Q135" s="5" cm="1">
        <f t="array" ref="Q13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68.155199999999994</v>
      </c>
      <c r="R135" s="4">
        <f ca="1">MAX(0,TODAY()-PipelineTable[[#This Row],[LastContactDate]]-14)</f>
        <v>151</v>
      </c>
    </row>
    <row r="136" spans="1:18">
      <c r="A136" t="s">
        <v>344</v>
      </c>
      <c r="B136" t="s">
        <v>345</v>
      </c>
      <c r="C136" t="s">
        <v>21</v>
      </c>
      <c r="D136" t="s">
        <v>22</v>
      </c>
      <c r="E136" s="1">
        <v>24071</v>
      </c>
      <c r="F136" s="2">
        <v>0.28999999999999998</v>
      </c>
      <c r="G136" t="s">
        <v>41</v>
      </c>
      <c r="H136" s="3">
        <v>45747</v>
      </c>
      <c r="I136" t="s">
        <v>139</v>
      </c>
      <c r="J136" s="4">
        <v>13</v>
      </c>
      <c r="K136" t="s">
        <v>102</v>
      </c>
      <c r="M136" t="s">
        <v>26</v>
      </c>
      <c r="N136" t="s">
        <v>27</v>
      </c>
      <c r="O136" s="1">
        <f>PipelineTable[[#This Row],[DealValue]]*PipelineTable[[#This Row],[Probability]]</f>
        <v>6980.5899999999992</v>
      </c>
      <c r="P136" s="1" cm="1">
        <f t="array" ref="P13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1034.4827586206898</v>
      </c>
      <c r="Q136" s="5" cm="1">
        <f t="array" ref="Q13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23.26863333333333</v>
      </c>
      <c r="R136" s="4">
        <f ca="1">MAX(0,TODAY()-PipelineTable[[#This Row],[LastContactDate]]-14)</f>
        <v>279</v>
      </c>
    </row>
    <row r="137" spans="1:18">
      <c r="A137" t="s">
        <v>346</v>
      </c>
      <c r="B137" t="s">
        <v>347</v>
      </c>
      <c r="C137" t="s">
        <v>57</v>
      </c>
      <c r="D137" t="s">
        <v>40</v>
      </c>
      <c r="E137" s="1">
        <v>88707</v>
      </c>
      <c r="F137" s="2">
        <v>0.48</v>
      </c>
      <c r="G137" t="s">
        <v>33</v>
      </c>
      <c r="H137" s="3">
        <v>45942</v>
      </c>
      <c r="I137" t="s">
        <v>107</v>
      </c>
      <c r="J137" s="4">
        <v>36</v>
      </c>
      <c r="K137" t="s">
        <v>98</v>
      </c>
      <c r="M137" t="s">
        <v>49</v>
      </c>
      <c r="N137" t="s">
        <v>37</v>
      </c>
      <c r="O137" s="1">
        <f>PipelineTable[[#This Row],[DealValue]]*PipelineTable[[#This Row],[Probability]]</f>
        <v>42579.360000000001</v>
      </c>
      <c r="P137" s="1" cm="1">
        <f t="array" ref="P13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208.33333333333334</v>
      </c>
      <c r="Q137" s="5" cm="1">
        <f t="array" ref="Q13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425.79360000000003</v>
      </c>
      <c r="R137" s="4">
        <f ca="1">MAX(0,TODAY()-PipelineTable[[#This Row],[LastContactDate]]-14)</f>
        <v>84</v>
      </c>
    </row>
    <row r="138" spans="1:18">
      <c r="A138" t="s">
        <v>348</v>
      </c>
      <c r="B138" t="s">
        <v>349</v>
      </c>
      <c r="C138" t="s">
        <v>126</v>
      </c>
      <c r="D138" t="s">
        <v>22</v>
      </c>
      <c r="E138" s="1">
        <v>3336</v>
      </c>
      <c r="F138" s="2">
        <v>0.41</v>
      </c>
      <c r="G138" t="s">
        <v>47</v>
      </c>
      <c r="H138" s="3">
        <v>45999</v>
      </c>
      <c r="I138" t="s">
        <v>139</v>
      </c>
      <c r="J138" s="4">
        <v>13</v>
      </c>
      <c r="K138" t="s">
        <v>61</v>
      </c>
      <c r="M138" t="s">
        <v>49</v>
      </c>
      <c r="N138" t="s">
        <v>44</v>
      </c>
      <c r="O138" s="1">
        <f>PipelineTable[[#This Row],[DealValue]]*PipelineTable[[#This Row],[Probability]]</f>
        <v>1367.76</v>
      </c>
      <c r="P138" s="1" cm="1">
        <f t="array" ref="P13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487.80487804878049</v>
      </c>
      <c r="Q138" s="5" cm="1">
        <f t="array" ref="Q13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6.8388</v>
      </c>
      <c r="R138" s="4">
        <f ca="1">MAX(0,TODAY()-PipelineTable[[#This Row],[LastContactDate]]-14)</f>
        <v>27</v>
      </c>
    </row>
    <row r="139" spans="1:18">
      <c r="A139" t="s">
        <v>350</v>
      </c>
      <c r="B139" t="s">
        <v>77</v>
      </c>
      <c r="C139" t="s">
        <v>57</v>
      </c>
      <c r="D139" t="s">
        <v>78</v>
      </c>
      <c r="E139" s="1">
        <v>15365</v>
      </c>
      <c r="F139" s="2">
        <v>0.21</v>
      </c>
      <c r="G139" t="s">
        <v>47</v>
      </c>
      <c r="H139" s="3">
        <v>45928</v>
      </c>
      <c r="I139" t="s">
        <v>351</v>
      </c>
      <c r="J139" s="4">
        <v>44</v>
      </c>
      <c r="K139" t="s">
        <v>25</v>
      </c>
      <c r="L139" t="s">
        <v>200</v>
      </c>
      <c r="M139" t="s">
        <v>49</v>
      </c>
      <c r="N139" t="s">
        <v>28</v>
      </c>
      <c r="O139" s="1">
        <f>PipelineTable[[#This Row],[DealValue]]*PipelineTable[[#This Row],[Probability]]</f>
        <v>3226.65</v>
      </c>
      <c r="P139" s="1" cm="1">
        <f t="array" ref="P13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714.28571428571433</v>
      </c>
      <c r="Q139" s="5" cm="1">
        <f t="array" ref="Q13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21.510999999999999</v>
      </c>
      <c r="R139" s="4">
        <f ca="1">MAX(0,TODAY()-PipelineTable[[#This Row],[LastContactDate]]-14)</f>
        <v>98</v>
      </c>
    </row>
    <row r="140" spans="1:18">
      <c r="A140" t="s">
        <v>352</v>
      </c>
      <c r="B140" t="s">
        <v>353</v>
      </c>
      <c r="C140" t="s">
        <v>52</v>
      </c>
      <c r="D140" t="s">
        <v>40</v>
      </c>
      <c r="E140" s="1">
        <v>18314</v>
      </c>
      <c r="F140" s="2">
        <v>0.56000000000000005</v>
      </c>
      <c r="G140" t="s">
        <v>47</v>
      </c>
      <c r="H140" s="3">
        <v>45866</v>
      </c>
      <c r="I140" t="s">
        <v>83</v>
      </c>
      <c r="J140" s="4">
        <v>39</v>
      </c>
      <c r="K140" t="s">
        <v>98</v>
      </c>
      <c r="M140" t="s">
        <v>26</v>
      </c>
      <c r="N140" t="s">
        <v>37</v>
      </c>
      <c r="O140" s="1">
        <f>PipelineTable[[#This Row],[DealValue]]*PipelineTable[[#This Row],[Probability]]</f>
        <v>10255.84</v>
      </c>
      <c r="P140" s="1" cm="1">
        <f t="array" ref="P14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178.57142857142856</v>
      </c>
      <c r="Q140" s="5" cm="1">
        <f t="array" ref="Q14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102.55840000000001</v>
      </c>
      <c r="R140" s="4">
        <f ca="1">MAX(0,TODAY()-PipelineTable[[#This Row],[LastContactDate]]-14)</f>
        <v>160</v>
      </c>
    </row>
    <row r="141" spans="1:18">
      <c r="A141" t="s">
        <v>354</v>
      </c>
      <c r="B141" t="s">
        <v>355</v>
      </c>
      <c r="C141" t="s">
        <v>126</v>
      </c>
      <c r="D141" t="s">
        <v>32</v>
      </c>
      <c r="E141" s="1">
        <v>9445</v>
      </c>
      <c r="F141" s="2">
        <v>0.24</v>
      </c>
      <c r="G141" t="s">
        <v>54</v>
      </c>
      <c r="H141" s="3">
        <v>45823</v>
      </c>
      <c r="I141" t="s">
        <v>175</v>
      </c>
      <c r="J141" s="4">
        <v>5</v>
      </c>
      <c r="K141" t="s">
        <v>98</v>
      </c>
      <c r="M141" t="s">
        <v>26</v>
      </c>
      <c r="N141" t="s">
        <v>44</v>
      </c>
      <c r="O141" s="1">
        <f>PipelineTable[[#This Row],[DealValue]]*PipelineTable[[#This Row],[Probability]]</f>
        <v>2266.7999999999997</v>
      </c>
      <c r="P141" s="1" cm="1">
        <f t="array" ref="P14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833.33333333333337</v>
      </c>
      <c r="Q141" s="5" cm="1">
        <f t="array" ref="Q14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11.333999999999998</v>
      </c>
      <c r="R141" s="4">
        <f ca="1">MAX(0,TODAY()-PipelineTable[[#This Row],[LastContactDate]]-14)</f>
        <v>203</v>
      </c>
    </row>
    <row r="142" spans="1:18">
      <c r="A142" t="s">
        <v>356</v>
      </c>
      <c r="B142" t="s">
        <v>330</v>
      </c>
      <c r="C142" t="s">
        <v>57</v>
      </c>
      <c r="D142" t="s">
        <v>40</v>
      </c>
      <c r="E142" s="1">
        <v>11948</v>
      </c>
      <c r="F142" s="2">
        <v>0.63</v>
      </c>
      <c r="G142" t="s">
        <v>82</v>
      </c>
      <c r="H142" s="3">
        <v>45661</v>
      </c>
      <c r="I142" t="s">
        <v>107</v>
      </c>
      <c r="J142" s="4">
        <v>27</v>
      </c>
      <c r="M142" t="s">
        <v>49</v>
      </c>
      <c r="N142" t="s">
        <v>37</v>
      </c>
      <c r="O142" s="1">
        <f>PipelineTable[[#This Row],[DealValue]]*PipelineTable[[#This Row],[Probability]]</f>
        <v>7527.24</v>
      </c>
      <c r="P142" s="1" cm="1">
        <f t="array" ref="P14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158.73015873015873</v>
      </c>
      <c r="Q142" s="5" cm="1">
        <f t="array" ref="Q14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75.272400000000005</v>
      </c>
      <c r="R142" s="4">
        <f ca="1">MAX(0,TODAY()-PipelineTable[[#This Row],[LastContactDate]]-14)</f>
        <v>365</v>
      </c>
    </row>
    <row r="143" spans="1:18">
      <c r="A143" t="s">
        <v>357</v>
      </c>
      <c r="B143" t="s">
        <v>358</v>
      </c>
      <c r="C143" t="s">
        <v>73</v>
      </c>
      <c r="D143" t="s">
        <v>32</v>
      </c>
      <c r="E143" s="1">
        <v>33703</v>
      </c>
      <c r="F143" s="2">
        <v>0.19</v>
      </c>
      <c r="G143" t="s">
        <v>33</v>
      </c>
      <c r="H143" s="3">
        <v>45806</v>
      </c>
      <c r="I143" t="s">
        <v>175</v>
      </c>
      <c r="J143" s="4">
        <v>14</v>
      </c>
      <c r="K143" t="s">
        <v>35</v>
      </c>
      <c r="M143" t="s">
        <v>36</v>
      </c>
      <c r="N143" t="s">
        <v>27</v>
      </c>
      <c r="O143" s="1">
        <f>PipelineTable[[#This Row],[DealValue]]*PipelineTable[[#This Row],[Probability]]</f>
        <v>6403.57</v>
      </c>
      <c r="P143" s="1" cm="1">
        <f t="array" ref="P14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1578.9473684210527</v>
      </c>
      <c r="Q143" s="5" cm="1">
        <f t="array" ref="Q14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21.345233333333333</v>
      </c>
      <c r="R143" s="4">
        <f ca="1">MAX(0,TODAY()-PipelineTable[[#This Row],[LastContactDate]]-14)</f>
        <v>220</v>
      </c>
    </row>
    <row r="144" spans="1:18">
      <c r="A144" t="s">
        <v>359</v>
      </c>
      <c r="B144" t="s">
        <v>360</v>
      </c>
      <c r="C144" t="s">
        <v>31</v>
      </c>
      <c r="D144" t="s">
        <v>40</v>
      </c>
      <c r="E144" s="1">
        <v>37675</v>
      </c>
      <c r="F144" s="2">
        <v>0.56000000000000005</v>
      </c>
      <c r="G144" t="s">
        <v>64</v>
      </c>
      <c r="H144" s="3">
        <v>45662</v>
      </c>
      <c r="I144" t="s">
        <v>83</v>
      </c>
      <c r="J144" s="4">
        <v>15</v>
      </c>
      <c r="K144" t="s">
        <v>25</v>
      </c>
      <c r="M144" t="s">
        <v>36</v>
      </c>
      <c r="N144" t="s">
        <v>27</v>
      </c>
      <c r="O144" s="1">
        <f>PipelineTable[[#This Row],[DealValue]]*PipelineTable[[#This Row],[Probability]]</f>
        <v>21098.000000000004</v>
      </c>
      <c r="P144" s="1" cm="1">
        <f t="array" ref="P14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535.71428571428567</v>
      </c>
      <c r="Q144" s="5" cm="1">
        <f t="array" ref="Q14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70.326666666666682</v>
      </c>
      <c r="R144" s="4">
        <f ca="1">MAX(0,TODAY()-PipelineTable[[#This Row],[LastContactDate]]-14)</f>
        <v>364</v>
      </c>
    </row>
    <row r="145" spans="1:18">
      <c r="A145" t="s">
        <v>361</v>
      </c>
      <c r="B145" t="s">
        <v>362</v>
      </c>
      <c r="C145" t="s">
        <v>52</v>
      </c>
      <c r="D145" t="s">
        <v>22</v>
      </c>
      <c r="E145" s="1">
        <v>62112</v>
      </c>
      <c r="F145" s="2">
        <v>0.21</v>
      </c>
      <c r="G145" t="s">
        <v>23</v>
      </c>
      <c r="H145" s="3">
        <v>45722</v>
      </c>
      <c r="I145" t="s">
        <v>24</v>
      </c>
      <c r="J145" s="4">
        <v>21</v>
      </c>
      <c r="K145" t="s">
        <v>95</v>
      </c>
      <c r="M145" t="s">
        <v>49</v>
      </c>
      <c r="N145" t="s">
        <v>27</v>
      </c>
      <c r="O145" s="1">
        <f>PipelineTable[[#This Row],[DealValue]]*PipelineTable[[#This Row],[Probability]]</f>
        <v>13043.519999999999</v>
      </c>
      <c r="P145" s="1" cm="1">
        <f t="array" ref="P14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1428.5714285714287</v>
      </c>
      <c r="Q145" s="5" cm="1">
        <f t="array" ref="Q14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43.478399999999993</v>
      </c>
      <c r="R145" s="4">
        <f ca="1">MAX(0,TODAY()-PipelineTable[[#This Row],[LastContactDate]]-14)</f>
        <v>304</v>
      </c>
    </row>
    <row r="146" spans="1:18">
      <c r="A146" t="s">
        <v>363</v>
      </c>
      <c r="B146" t="s">
        <v>364</v>
      </c>
      <c r="C146" t="s">
        <v>57</v>
      </c>
      <c r="D146" t="s">
        <v>53</v>
      </c>
      <c r="E146" s="1">
        <v>114175</v>
      </c>
      <c r="F146" s="2">
        <v>0.7</v>
      </c>
      <c r="G146" t="s">
        <v>82</v>
      </c>
      <c r="H146" s="3">
        <v>45682</v>
      </c>
      <c r="I146" t="s">
        <v>158</v>
      </c>
      <c r="J146" s="4">
        <v>17</v>
      </c>
      <c r="K146" t="s">
        <v>95</v>
      </c>
      <c r="M146" t="s">
        <v>36</v>
      </c>
      <c r="N146" t="s">
        <v>28</v>
      </c>
      <c r="O146" s="1">
        <f>PipelineTable[[#This Row],[DealValue]]*PipelineTable[[#This Row],[Probability]]</f>
        <v>79922.5</v>
      </c>
      <c r="P146" s="1" cm="1">
        <f t="array" ref="P14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214.28571428571431</v>
      </c>
      <c r="Q146" s="5" cm="1">
        <f t="array" ref="Q14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532.81666666666672</v>
      </c>
      <c r="R146" s="4">
        <f ca="1">MAX(0,TODAY()-PipelineTable[[#This Row],[LastContactDate]]-14)</f>
        <v>344</v>
      </c>
    </row>
    <row r="147" spans="1:18">
      <c r="A147" t="s">
        <v>365</v>
      </c>
      <c r="B147" t="s">
        <v>366</v>
      </c>
      <c r="C147" t="s">
        <v>21</v>
      </c>
      <c r="D147" t="s">
        <v>32</v>
      </c>
      <c r="E147" s="1">
        <v>28512</v>
      </c>
      <c r="F147" s="2">
        <v>0.25</v>
      </c>
      <c r="G147" t="s">
        <v>82</v>
      </c>
      <c r="H147" s="3">
        <v>45768</v>
      </c>
      <c r="I147" t="s">
        <v>175</v>
      </c>
      <c r="J147" s="4">
        <v>1</v>
      </c>
      <c r="K147" t="s">
        <v>61</v>
      </c>
      <c r="M147" t="s">
        <v>49</v>
      </c>
      <c r="N147" t="s">
        <v>37</v>
      </c>
      <c r="O147" s="1">
        <f>PipelineTable[[#This Row],[DealValue]]*PipelineTable[[#This Row],[Probability]]</f>
        <v>7128</v>
      </c>
      <c r="P147" s="1" cm="1">
        <f t="array" ref="P14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400</v>
      </c>
      <c r="Q147" s="5" cm="1">
        <f t="array" ref="Q14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71.28</v>
      </c>
      <c r="R147" s="4">
        <f ca="1">MAX(0,TODAY()-PipelineTable[[#This Row],[LastContactDate]]-14)</f>
        <v>258</v>
      </c>
    </row>
    <row r="148" spans="1:18">
      <c r="A148" t="s">
        <v>367</v>
      </c>
      <c r="B148" t="s">
        <v>313</v>
      </c>
      <c r="C148" t="s">
        <v>31</v>
      </c>
      <c r="D148" t="s">
        <v>32</v>
      </c>
      <c r="E148" s="1">
        <v>116146</v>
      </c>
      <c r="F148" s="2">
        <v>0.21</v>
      </c>
      <c r="G148" t="s">
        <v>47</v>
      </c>
      <c r="H148" s="3">
        <v>45816</v>
      </c>
      <c r="I148" t="s">
        <v>91</v>
      </c>
      <c r="J148" s="4">
        <v>3</v>
      </c>
      <c r="K148" t="s">
        <v>102</v>
      </c>
      <c r="M148" t="s">
        <v>26</v>
      </c>
      <c r="N148" t="s">
        <v>37</v>
      </c>
      <c r="O148" s="1">
        <f>PipelineTable[[#This Row],[DealValue]]*PipelineTable[[#This Row],[Probability]]</f>
        <v>24390.66</v>
      </c>
      <c r="P148" s="1" cm="1">
        <f t="array" ref="P14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476.1904761904762</v>
      </c>
      <c r="Q148" s="5" cm="1">
        <f t="array" ref="Q14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243.9066</v>
      </c>
      <c r="R148" s="4">
        <f ca="1">MAX(0,TODAY()-PipelineTable[[#This Row],[LastContactDate]]-14)</f>
        <v>210</v>
      </c>
    </row>
    <row r="149" spans="1:18">
      <c r="A149" t="s">
        <v>368</v>
      </c>
      <c r="B149" t="s">
        <v>369</v>
      </c>
      <c r="C149" t="s">
        <v>21</v>
      </c>
      <c r="D149" t="s">
        <v>40</v>
      </c>
      <c r="E149" s="1">
        <v>134692</v>
      </c>
      <c r="F149" s="2">
        <v>0.51</v>
      </c>
      <c r="G149" t="s">
        <v>47</v>
      </c>
      <c r="H149" s="3">
        <v>45991</v>
      </c>
      <c r="I149" t="s">
        <v>42</v>
      </c>
      <c r="J149" s="4">
        <v>31</v>
      </c>
      <c r="K149" t="s">
        <v>61</v>
      </c>
      <c r="M149" t="s">
        <v>36</v>
      </c>
      <c r="N149" t="s">
        <v>28</v>
      </c>
      <c r="O149" s="1">
        <f>PipelineTable[[#This Row],[DealValue]]*PipelineTable[[#This Row],[Probability]]</f>
        <v>68692.92</v>
      </c>
      <c r="P149" s="1" cm="1">
        <f t="array" ref="P14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294.11764705882354</v>
      </c>
      <c r="Q149" s="5" cm="1">
        <f t="array" ref="Q14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457.95279999999997</v>
      </c>
      <c r="R149" s="4">
        <f ca="1">MAX(0,TODAY()-PipelineTable[[#This Row],[LastContactDate]]-14)</f>
        <v>35</v>
      </c>
    </row>
    <row r="150" spans="1:18">
      <c r="A150" t="s">
        <v>370</v>
      </c>
      <c r="B150" t="s">
        <v>371</v>
      </c>
      <c r="C150" t="s">
        <v>73</v>
      </c>
      <c r="D150" t="s">
        <v>40</v>
      </c>
      <c r="E150" s="1">
        <v>14580</v>
      </c>
      <c r="F150" s="2">
        <v>0.47</v>
      </c>
      <c r="G150" t="s">
        <v>23</v>
      </c>
      <c r="H150" s="3">
        <v>45726</v>
      </c>
      <c r="I150" t="s">
        <v>131</v>
      </c>
      <c r="J150" s="4">
        <v>23</v>
      </c>
      <c r="K150" t="s">
        <v>92</v>
      </c>
      <c r="M150" t="s">
        <v>26</v>
      </c>
      <c r="N150" t="s">
        <v>37</v>
      </c>
      <c r="O150" s="1">
        <f>PipelineTable[[#This Row],[DealValue]]*PipelineTable[[#This Row],[Probability]]</f>
        <v>6852.5999999999995</v>
      </c>
      <c r="P150" s="1" cm="1">
        <f t="array" ref="P15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212.76595744680853</v>
      </c>
      <c r="Q150" s="5" cm="1">
        <f t="array" ref="Q15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68.525999999999996</v>
      </c>
      <c r="R150" s="4">
        <f ca="1">MAX(0,TODAY()-PipelineTable[[#This Row],[LastContactDate]]-14)</f>
        <v>300</v>
      </c>
    </row>
    <row r="151" spans="1:18">
      <c r="A151" t="s">
        <v>372</v>
      </c>
      <c r="B151" t="s">
        <v>373</v>
      </c>
      <c r="C151" t="s">
        <v>73</v>
      </c>
      <c r="D151" t="s">
        <v>40</v>
      </c>
      <c r="E151" s="1">
        <v>12843</v>
      </c>
      <c r="F151" s="2">
        <v>0.47</v>
      </c>
      <c r="G151" t="s">
        <v>41</v>
      </c>
      <c r="H151" s="3">
        <v>45720</v>
      </c>
      <c r="I151" t="s">
        <v>83</v>
      </c>
      <c r="J151" s="4">
        <v>31</v>
      </c>
      <c r="K151" t="s">
        <v>61</v>
      </c>
      <c r="M151" t="s">
        <v>26</v>
      </c>
      <c r="N151" t="s">
        <v>44</v>
      </c>
      <c r="O151" s="1">
        <f>PipelineTable[[#This Row],[DealValue]]*PipelineTable[[#This Row],[Probability]]</f>
        <v>6036.21</v>
      </c>
      <c r="P151" s="1" cm="1">
        <f t="array" ref="P15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425.53191489361706</v>
      </c>
      <c r="Q151" s="5" cm="1">
        <f t="array" ref="Q15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30.181049999999999</v>
      </c>
      <c r="R151" s="4">
        <f ca="1">MAX(0,TODAY()-PipelineTable[[#This Row],[LastContactDate]]-14)</f>
        <v>306</v>
      </c>
    </row>
    <row r="152" spans="1:18">
      <c r="A152" t="s">
        <v>374</v>
      </c>
      <c r="B152" t="s">
        <v>375</v>
      </c>
      <c r="C152" t="s">
        <v>73</v>
      </c>
      <c r="D152" t="s">
        <v>78</v>
      </c>
      <c r="E152" s="1">
        <v>2719</v>
      </c>
      <c r="F152" s="2">
        <v>0.15</v>
      </c>
      <c r="G152" t="s">
        <v>64</v>
      </c>
      <c r="H152" s="3">
        <v>45993</v>
      </c>
      <c r="I152" t="s">
        <v>164</v>
      </c>
      <c r="J152" s="4">
        <v>80</v>
      </c>
      <c r="K152" t="s">
        <v>35</v>
      </c>
      <c r="L152" t="s">
        <v>114</v>
      </c>
      <c r="M152" t="s">
        <v>26</v>
      </c>
      <c r="N152" t="s">
        <v>28</v>
      </c>
      <c r="O152" s="1">
        <f>PipelineTable[[#This Row],[DealValue]]*PipelineTable[[#This Row],[Probability]]</f>
        <v>407.84999999999997</v>
      </c>
      <c r="P152" s="1" cm="1">
        <f t="array" ref="P15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1000</v>
      </c>
      <c r="Q152" s="5" cm="1">
        <f t="array" ref="Q15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2.7189999999999999</v>
      </c>
      <c r="R152" s="4">
        <f ca="1">MAX(0,TODAY()-PipelineTable[[#This Row],[LastContactDate]]-14)</f>
        <v>33</v>
      </c>
    </row>
    <row r="153" spans="1:18">
      <c r="A153" t="s">
        <v>376</v>
      </c>
      <c r="B153" t="s">
        <v>377</v>
      </c>
      <c r="C153" t="s">
        <v>57</v>
      </c>
      <c r="D153" t="s">
        <v>40</v>
      </c>
      <c r="E153" s="1">
        <v>300738</v>
      </c>
      <c r="F153" s="2">
        <v>0.47</v>
      </c>
      <c r="G153" t="s">
        <v>33</v>
      </c>
      <c r="H153" s="3">
        <v>45933</v>
      </c>
      <c r="I153" t="s">
        <v>83</v>
      </c>
      <c r="J153" s="4">
        <v>13</v>
      </c>
      <c r="K153" t="s">
        <v>65</v>
      </c>
      <c r="M153" t="s">
        <v>36</v>
      </c>
      <c r="N153" t="s">
        <v>28</v>
      </c>
      <c r="O153" s="1">
        <f>PipelineTable[[#This Row],[DealValue]]*PipelineTable[[#This Row],[Probability]]</f>
        <v>141346.85999999999</v>
      </c>
      <c r="P153" s="1" cm="1">
        <f t="array" ref="P15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319.14893617021278</v>
      </c>
      <c r="Q153" s="5" cm="1">
        <f t="array" ref="Q15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942.31239999999991</v>
      </c>
      <c r="R153" s="4">
        <f ca="1">MAX(0,TODAY()-PipelineTable[[#This Row],[LastContactDate]]-14)</f>
        <v>93</v>
      </c>
    </row>
    <row r="154" spans="1:18">
      <c r="A154" t="s">
        <v>378</v>
      </c>
      <c r="B154" t="s">
        <v>379</v>
      </c>
      <c r="C154" t="s">
        <v>31</v>
      </c>
      <c r="D154" t="s">
        <v>40</v>
      </c>
      <c r="E154" s="1">
        <v>19121</v>
      </c>
      <c r="F154" s="2">
        <v>0.55000000000000004</v>
      </c>
      <c r="G154" t="s">
        <v>23</v>
      </c>
      <c r="H154" s="3">
        <v>45733</v>
      </c>
      <c r="I154" t="s">
        <v>107</v>
      </c>
      <c r="J154" s="4">
        <v>9</v>
      </c>
      <c r="K154" t="s">
        <v>95</v>
      </c>
      <c r="M154" t="s">
        <v>26</v>
      </c>
      <c r="N154" t="s">
        <v>44</v>
      </c>
      <c r="O154" s="1">
        <f>PipelineTable[[#This Row],[DealValue]]*PipelineTable[[#This Row],[Probability]]</f>
        <v>10516.550000000001</v>
      </c>
      <c r="P154" s="1" cm="1">
        <f t="array" ref="P15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363.63636363636363</v>
      </c>
      <c r="Q154" s="5" cm="1">
        <f t="array" ref="Q15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52.582750000000004</v>
      </c>
      <c r="R154" s="4">
        <f ca="1">MAX(0,TODAY()-PipelineTable[[#This Row],[LastContactDate]]-14)</f>
        <v>293</v>
      </c>
    </row>
    <row r="155" spans="1:18">
      <c r="A155" t="s">
        <v>380</v>
      </c>
      <c r="B155" t="s">
        <v>381</v>
      </c>
      <c r="C155" t="s">
        <v>52</v>
      </c>
      <c r="D155" t="s">
        <v>32</v>
      </c>
      <c r="E155" s="1">
        <v>128128</v>
      </c>
      <c r="F155" s="2">
        <v>0.23</v>
      </c>
      <c r="G155" t="s">
        <v>60</v>
      </c>
      <c r="H155" s="3">
        <v>45854</v>
      </c>
      <c r="I155" t="s">
        <v>48</v>
      </c>
      <c r="J155" s="4">
        <v>3</v>
      </c>
      <c r="K155" t="s">
        <v>25</v>
      </c>
      <c r="M155" t="s">
        <v>49</v>
      </c>
      <c r="N155" t="s">
        <v>37</v>
      </c>
      <c r="O155" s="1">
        <f>PipelineTable[[#This Row],[DealValue]]*PipelineTable[[#This Row],[Probability]]</f>
        <v>29469.440000000002</v>
      </c>
      <c r="P155" s="1" cm="1">
        <f t="array" ref="P15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434.78260869565213</v>
      </c>
      <c r="Q155" s="5" cm="1">
        <f t="array" ref="Q15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294.69440000000003</v>
      </c>
      <c r="R155" s="4">
        <f ca="1">MAX(0,TODAY()-PipelineTable[[#This Row],[LastContactDate]]-14)</f>
        <v>172</v>
      </c>
    </row>
    <row r="156" spans="1:18">
      <c r="A156" t="s">
        <v>382</v>
      </c>
      <c r="B156" t="s">
        <v>383</v>
      </c>
      <c r="C156" t="s">
        <v>52</v>
      </c>
      <c r="D156" t="s">
        <v>22</v>
      </c>
      <c r="E156" s="1">
        <v>53220</v>
      </c>
      <c r="F156" s="2">
        <v>0.39</v>
      </c>
      <c r="G156" t="s">
        <v>23</v>
      </c>
      <c r="H156" s="3">
        <v>45827</v>
      </c>
      <c r="I156" t="s">
        <v>68</v>
      </c>
      <c r="J156" s="4">
        <v>14</v>
      </c>
      <c r="K156" t="s">
        <v>95</v>
      </c>
      <c r="M156" t="s">
        <v>49</v>
      </c>
      <c r="N156" t="s">
        <v>28</v>
      </c>
      <c r="O156" s="1">
        <f>PipelineTable[[#This Row],[DealValue]]*PipelineTable[[#This Row],[Probability]]</f>
        <v>20755.8</v>
      </c>
      <c r="P156" s="1" cm="1">
        <f t="array" ref="P15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384.61538461538458</v>
      </c>
      <c r="Q156" s="5" cm="1">
        <f t="array" ref="Q15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138.37199999999999</v>
      </c>
      <c r="R156" s="4">
        <f ca="1">MAX(0,TODAY()-PipelineTable[[#This Row],[LastContactDate]]-14)</f>
        <v>199</v>
      </c>
    </row>
    <row r="157" spans="1:18">
      <c r="A157" t="s">
        <v>384</v>
      </c>
      <c r="B157" t="s">
        <v>385</v>
      </c>
      <c r="C157" t="s">
        <v>21</v>
      </c>
      <c r="D157" t="s">
        <v>40</v>
      </c>
      <c r="E157" s="1">
        <v>219462</v>
      </c>
      <c r="F157" s="2">
        <v>0.46</v>
      </c>
      <c r="G157" t="s">
        <v>60</v>
      </c>
      <c r="H157" s="3">
        <v>45933</v>
      </c>
      <c r="I157" t="s">
        <v>131</v>
      </c>
      <c r="J157" s="4">
        <v>26</v>
      </c>
      <c r="K157" t="s">
        <v>102</v>
      </c>
      <c r="M157" t="s">
        <v>26</v>
      </c>
      <c r="N157" t="s">
        <v>28</v>
      </c>
      <c r="O157" s="1">
        <f>PipelineTable[[#This Row],[DealValue]]*PipelineTable[[#This Row],[Probability]]</f>
        <v>100952.52</v>
      </c>
      <c r="P157" s="1" cm="1">
        <f t="array" ref="P15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326.08695652173913</v>
      </c>
      <c r="Q157" s="5" cm="1">
        <f t="array" ref="Q15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673.01679999999999</v>
      </c>
      <c r="R157" s="4">
        <f ca="1">MAX(0,TODAY()-PipelineTable[[#This Row],[LastContactDate]]-14)</f>
        <v>93</v>
      </c>
    </row>
    <row r="158" spans="1:18">
      <c r="A158" t="s">
        <v>386</v>
      </c>
      <c r="B158" t="s">
        <v>121</v>
      </c>
      <c r="C158" t="s">
        <v>21</v>
      </c>
      <c r="D158" t="s">
        <v>22</v>
      </c>
      <c r="E158" s="1">
        <v>8401</v>
      </c>
      <c r="F158" s="2">
        <v>0.26</v>
      </c>
      <c r="G158" t="s">
        <v>23</v>
      </c>
      <c r="H158" s="3">
        <v>46001</v>
      </c>
      <c r="J158" s="4">
        <v>22</v>
      </c>
      <c r="K158" t="s">
        <v>65</v>
      </c>
      <c r="M158" t="s">
        <v>26</v>
      </c>
      <c r="N158" t="s">
        <v>27</v>
      </c>
      <c r="O158" s="1">
        <f>PipelineTable[[#This Row],[DealValue]]*PipelineTable[[#This Row],[Probability]]</f>
        <v>2184.2600000000002</v>
      </c>
      <c r="P158" s="1" cm="1">
        <f t="array" ref="P15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1153.8461538461538</v>
      </c>
      <c r="Q158" s="5" cm="1">
        <f t="array" ref="Q15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7.2808666666666673</v>
      </c>
      <c r="R158" s="4">
        <f ca="1">MAX(0,TODAY()-PipelineTable[[#This Row],[LastContactDate]]-14)</f>
        <v>25</v>
      </c>
    </row>
    <row r="159" spans="1:18">
      <c r="A159" t="s">
        <v>387</v>
      </c>
      <c r="B159" t="s">
        <v>388</v>
      </c>
      <c r="C159" t="s">
        <v>31</v>
      </c>
      <c r="D159" t="s">
        <v>78</v>
      </c>
      <c r="E159" s="1">
        <v>177011</v>
      </c>
      <c r="F159" s="2">
        <v>0.18</v>
      </c>
      <c r="G159" t="s">
        <v>23</v>
      </c>
      <c r="H159" s="3">
        <v>45980</v>
      </c>
      <c r="I159" t="s">
        <v>306</v>
      </c>
      <c r="J159" s="4">
        <v>51</v>
      </c>
      <c r="K159" t="s">
        <v>65</v>
      </c>
      <c r="L159" t="s">
        <v>79</v>
      </c>
      <c r="M159" t="s">
        <v>49</v>
      </c>
      <c r="N159" t="s">
        <v>28</v>
      </c>
      <c r="O159" s="1">
        <f>PipelineTable[[#This Row],[DealValue]]*PipelineTable[[#This Row],[Probability]]</f>
        <v>31861.98</v>
      </c>
      <c r="P159" s="1" cm="1">
        <f t="array" ref="P15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833.33333333333337</v>
      </c>
      <c r="Q159" s="5" cm="1">
        <f t="array" ref="Q15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212.41319999999999</v>
      </c>
      <c r="R159" s="4">
        <f ca="1">MAX(0,TODAY()-PipelineTable[[#This Row],[LastContactDate]]-14)</f>
        <v>46</v>
      </c>
    </row>
    <row r="160" spans="1:18">
      <c r="A160" t="s">
        <v>389</v>
      </c>
      <c r="B160" t="s">
        <v>390</v>
      </c>
      <c r="C160" t="s">
        <v>21</v>
      </c>
      <c r="D160" t="s">
        <v>53</v>
      </c>
      <c r="E160" s="1">
        <v>241874</v>
      </c>
      <c r="F160" s="2">
        <v>0.77</v>
      </c>
      <c r="G160" t="s">
        <v>33</v>
      </c>
      <c r="H160" s="3">
        <v>45687</v>
      </c>
      <c r="I160" t="s">
        <v>88</v>
      </c>
      <c r="J160" s="4">
        <v>11</v>
      </c>
      <c r="K160" t="s">
        <v>35</v>
      </c>
      <c r="M160" t="s">
        <v>36</v>
      </c>
      <c r="N160" t="s">
        <v>37</v>
      </c>
      <c r="O160" s="1">
        <f>PipelineTable[[#This Row],[DealValue]]*PipelineTable[[#This Row],[Probability]]</f>
        <v>186242.98</v>
      </c>
      <c r="P160" s="1" cm="1">
        <f t="array" ref="P16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129.87012987012986</v>
      </c>
      <c r="Q160" s="5" cm="1">
        <f t="array" ref="Q16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1862.4298000000001</v>
      </c>
      <c r="R160" s="4">
        <f ca="1">MAX(0,TODAY()-PipelineTable[[#This Row],[LastContactDate]]-14)</f>
        <v>339</v>
      </c>
    </row>
    <row r="161" spans="1:18">
      <c r="A161" t="s">
        <v>391</v>
      </c>
      <c r="B161" t="s">
        <v>392</v>
      </c>
      <c r="C161" t="s">
        <v>73</v>
      </c>
      <c r="D161" t="s">
        <v>32</v>
      </c>
      <c r="E161" s="1">
        <v>2666</v>
      </c>
      <c r="F161" s="2">
        <v>0.18</v>
      </c>
      <c r="G161" t="s">
        <v>82</v>
      </c>
      <c r="H161" s="3">
        <v>45777</v>
      </c>
      <c r="I161" t="s">
        <v>34</v>
      </c>
      <c r="J161" s="4">
        <v>19</v>
      </c>
      <c r="K161" t="s">
        <v>43</v>
      </c>
      <c r="M161" t="s">
        <v>26</v>
      </c>
      <c r="N161" t="s">
        <v>27</v>
      </c>
      <c r="O161" s="1">
        <f>PipelineTable[[#This Row],[DealValue]]*PipelineTable[[#This Row],[Probability]]</f>
        <v>479.88</v>
      </c>
      <c r="P161" s="1" cm="1">
        <f t="array" ref="P16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1666.6666666666667</v>
      </c>
      <c r="Q161" s="5" cm="1">
        <f t="array" ref="Q16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1.5995999999999999</v>
      </c>
      <c r="R161" s="4">
        <f ca="1">MAX(0,TODAY()-PipelineTable[[#This Row],[LastContactDate]]-14)</f>
        <v>249</v>
      </c>
    </row>
    <row r="162" spans="1:18">
      <c r="A162" t="s">
        <v>393</v>
      </c>
      <c r="B162" t="s">
        <v>394</v>
      </c>
      <c r="C162" t="s">
        <v>52</v>
      </c>
      <c r="D162" t="s">
        <v>40</v>
      </c>
      <c r="E162" s="1">
        <v>21734</v>
      </c>
      <c r="F162" s="2">
        <v>0.48</v>
      </c>
      <c r="G162" t="s">
        <v>82</v>
      </c>
      <c r="H162" s="3">
        <v>45948</v>
      </c>
      <c r="I162" t="s">
        <v>107</v>
      </c>
      <c r="J162" s="4">
        <v>33</v>
      </c>
      <c r="K162" t="s">
        <v>56</v>
      </c>
      <c r="M162" t="s">
        <v>36</v>
      </c>
      <c r="N162" t="s">
        <v>44</v>
      </c>
      <c r="O162" s="1">
        <f>PipelineTable[[#This Row],[DealValue]]*PipelineTable[[#This Row],[Probability]]</f>
        <v>10432.32</v>
      </c>
      <c r="P162" s="1" cm="1">
        <f t="array" ref="P16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416.66666666666669</v>
      </c>
      <c r="Q162" s="5" cm="1">
        <f t="array" ref="Q16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52.1616</v>
      </c>
      <c r="R162" s="4">
        <f ca="1">MAX(0,TODAY()-PipelineTable[[#This Row],[LastContactDate]]-14)</f>
        <v>78</v>
      </c>
    </row>
    <row r="163" spans="1:18">
      <c r="A163" t="s">
        <v>395</v>
      </c>
      <c r="B163" t="s">
        <v>396</v>
      </c>
      <c r="C163" t="s">
        <v>126</v>
      </c>
      <c r="D163" t="s">
        <v>74</v>
      </c>
      <c r="E163" s="1">
        <v>4305</v>
      </c>
      <c r="F163" s="2">
        <v>1</v>
      </c>
      <c r="G163" t="s">
        <v>64</v>
      </c>
      <c r="H163" s="3">
        <v>45830</v>
      </c>
      <c r="I163" t="s">
        <v>187</v>
      </c>
      <c r="J163" s="4">
        <v>40</v>
      </c>
      <c r="K163" t="s">
        <v>43</v>
      </c>
      <c r="M163" t="s">
        <v>36</v>
      </c>
      <c r="N163" t="s">
        <v>37</v>
      </c>
      <c r="O163" s="1">
        <f>PipelineTable[[#This Row],[DealValue]]*PipelineTable[[#This Row],[Probability]]</f>
        <v>4305</v>
      </c>
      <c r="P163" s="1" cm="1">
        <f t="array" ref="P16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100</v>
      </c>
      <c r="Q163" s="5" cm="1">
        <f t="array" ref="Q16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43.05</v>
      </c>
      <c r="R163" s="4">
        <f ca="1">MAX(0,TODAY()-PipelineTable[[#This Row],[LastContactDate]]-14)</f>
        <v>196</v>
      </c>
    </row>
    <row r="164" spans="1:18">
      <c r="A164" t="s">
        <v>397</v>
      </c>
      <c r="B164" t="s">
        <v>398</v>
      </c>
      <c r="C164" t="s">
        <v>52</v>
      </c>
      <c r="D164" t="s">
        <v>53</v>
      </c>
      <c r="E164" s="1">
        <v>14910</v>
      </c>
      <c r="F164" s="2">
        <v>0.64</v>
      </c>
      <c r="G164" t="s">
        <v>60</v>
      </c>
      <c r="H164" s="3">
        <v>45704</v>
      </c>
      <c r="I164" t="s">
        <v>158</v>
      </c>
      <c r="J164" s="4">
        <v>43</v>
      </c>
      <c r="K164" t="s">
        <v>98</v>
      </c>
      <c r="M164" t="s">
        <v>36</v>
      </c>
      <c r="N164" t="s">
        <v>27</v>
      </c>
      <c r="O164" s="1">
        <f>PipelineTable[[#This Row],[DealValue]]*PipelineTable[[#This Row],[Probability]]</f>
        <v>9542.4</v>
      </c>
      <c r="P164" s="1" cm="1">
        <f t="array" ref="P16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468.75</v>
      </c>
      <c r="Q164" s="5" cm="1">
        <f t="array" ref="Q16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31.808</v>
      </c>
      <c r="R164" s="4">
        <f ca="1">MAX(0,TODAY()-PipelineTable[[#This Row],[LastContactDate]]-14)</f>
        <v>322</v>
      </c>
    </row>
    <row r="165" spans="1:18">
      <c r="A165" t="s">
        <v>399</v>
      </c>
      <c r="B165" t="s">
        <v>400</v>
      </c>
      <c r="C165" t="s">
        <v>57</v>
      </c>
      <c r="D165" t="s">
        <v>22</v>
      </c>
      <c r="E165" s="1">
        <v>3574</v>
      </c>
      <c r="F165" s="2">
        <v>0.26</v>
      </c>
      <c r="G165" t="s">
        <v>41</v>
      </c>
      <c r="H165" s="3">
        <v>45790</v>
      </c>
      <c r="I165" t="s">
        <v>192</v>
      </c>
      <c r="J165" s="4">
        <v>27</v>
      </c>
      <c r="K165" t="s">
        <v>92</v>
      </c>
      <c r="M165" t="s">
        <v>26</v>
      </c>
      <c r="N165" t="s">
        <v>37</v>
      </c>
      <c r="O165" s="1">
        <f>PipelineTable[[#This Row],[DealValue]]*PipelineTable[[#This Row],[Probability]]</f>
        <v>929.24</v>
      </c>
      <c r="P165" s="1" cm="1">
        <f t="array" ref="P16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384.61538461538458</v>
      </c>
      <c r="Q165" s="5" cm="1">
        <f t="array" ref="Q16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9.2924000000000007</v>
      </c>
      <c r="R165" s="4">
        <f ca="1">MAX(0,TODAY()-PipelineTable[[#This Row],[LastContactDate]]-14)</f>
        <v>236</v>
      </c>
    </row>
    <row r="166" spans="1:18">
      <c r="A166" t="s">
        <v>401</v>
      </c>
      <c r="B166" t="s">
        <v>402</v>
      </c>
      <c r="C166" t="s">
        <v>31</v>
      </c>
      <c r="D166" t="s">
        <v>40</v>
      </c>
      <c r="E166" s="1">
        <v>205662</v>
      </c>
      <c r="F166" s="2">
        <v>0.48</v>
      </c>
      <c r="G166" t="s">
        <v>64</v>
      </c>
      <c r="H166" s="3">
        <v>45698</v>
      </c>
      <c r="I166" t="s">
        <v>161</v>
      </c>
      <c r="J166" s="4">
        <v>21</v>
      </c>
      <c r="K166" t="s">
        <v>65</v>
      </c>
      <c r="M166" t="s">
        <v>36</v>
      </c>
      <c r="N166" t="s">
        <v>37</v>
      </c>
      <c r="O166" s="1">
        <f>PipelineTable[[#This Row],[DealValue]]*PipelineTable[[#This Row],[Probability]]</f>
        <v>98717.759999999995</v>
      </c>
      <c r="P166" s="1" cm="1">
        <f t="array" ref="P16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208.33333333333334</v>
      </c>
      <c r="Q166" s="5" cm="1">
        <f t="array" ref="Q16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987.17759999999998</v>
      </c>
      <c r="R166" s="4">
        <f ca="1">MAX(0,TODAY()-PipelineTable[[#This Row],[LastContactDate]]-14)</f>
        <v>328</v>
      </c>
    </row>
    <row r="167" spans="1:18">
      <c r="A167" t="s">
        <v>403</v>
      </c>
      <c r="B167" t="s">
        <v>123</v>
      </c>
      <c r="C167" t="s">
        <v>126</v>
      </c>
      <c r="D167" t="s">
        <v>22</v>
      </c>
      <c r="E167" s="1">
        <v>130587</v>
      </c>
      <c r="F167" s="2">
        <v>0.44</v>
      </c>
      <c r="G167" t="s">
        <v>41</v>
      </c>
      <c r="H167" s="3">
        <v>45857</v>
      </c>
      <c r="I167" t="s">
        <v>101</v>
      </c>
      <c r="J167" s="4">
        <v>19</v>
      </c>
      <c r="K167" t="s">
        <v>102</v>
      </c>
      <c r="M167" t="s">
        <v>36</v>
      </c>
      <c r="N167" t="s">
        <v>37</v>
      </c>
      <c r="O167" s="1">
        <f>PipelineTable[[#This Row],[DealValue]]*PipelineTable[[#This Row],[Probability]]</f>
        <v>57458.28</v>
      </c>
      <c r="P167" s="1" cm="1">
        <f t="array" ref="P16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227.27272727272728</v>
      </c>
      <c r="Q167" s="5" cm="1">
        <f t="array" ref="Q16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574.58280000000002</v>
      </c>
      <c r="R167" s="4">
        <f ca="1">MAX(0,TODAY()-PipelineTable[[#This Row],[LastContactDate]]-14)</f>
        <v>169</v>
      </c>
    </row>
    <row r="168" spans="1:18">
      <c r="A168" t="s">
        <v>404</v>
      </c>
      <c r="B168" t="s">
        <v>405</v>
      </c>
      <c r="C168" t="s">
        <v>21</v>
      </c>
      <c r="D168" t="s">
        <v>74</v>
      </c>
      <c r="E168" s="1">
        <v>49089</v>
      </c>
      <c r="F168" s="2">
        <v>1</v>
      </c>
      <c r="G168" t="s">
        <v>60</v>
      </c>
      <c r="H168" s="3">
        <v>45751</v>
      </c>
      <c r="I168" t="s">
        <v>213</v>
      </c>
      <c r="J168" s="4">
        <v>45</v>
      </c>
      <c r="K168" t="s">
        <v>25</v>
      </c>
      <c r="M168" t="s">
        <v>36</v>
      </c>
      <c r="N168" t="s">
        <v>27</v>
      </c>
      <c r="O168" s="1">
        <f>PipelineTable[[#This Row],[DealValue]]*PipelineTable[[#This Row],[Probability]]</f>
        <v>49089</v>
      </c>
      <c r="P168" s="1" cm="1">
        <f t="array" ref="P16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300</v>
      </c>
      <c r="Q168" s="5" cm="1">
        <f t="array" ref="Q16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163.63</v>
      </c>
      <c r="R168" s="4">
        <f ca="1">MAX(0,TODAY()-PipelineTable[[#This Row],[LastContactDate]]-14)</f>
        <v>275</v>
      </c>
    </row>
    <row r="169" spans="1:18">
      <c r="A169" t="s">
        <v>406</v>
      </c>
      <c r="B169" t="s">
        <v>407</v>
      </c>
      <c r="C169" t="s">
        <v>126</v>
      </c>
      <c r="D169" t="s">
        <v>74</v>
      </c>
      <c r="E169" s="1">
        <v>402469</v>
      </c>
      <c r="F169" s="2">
        <v>1</v>
      </c>
      <c r="G169" t="s">
        <v>23</v>
      </c>
      <c r="H169" s="3">
        <v>45985</v>
      </c>
      <c r="I169" t="s">
        <v>213</v>
      </c>
      <c r="J169" s="4">
        <v>44</v>
      </c>
      <c r="K169" t="s">
        <v>56</v>
      </c>
      <c r="M169" t="s">
        <v>36</v>
      </c>
      <c r="N169" t="s">
        <v>37</v>
      </c>
      <c r="O169" s="1">
        <f>PipelineTable[[#This Row],[DealValue]]*PipelineTable[[#This Row],[Probability]]</f>
        <v>402469</v>
      </c>
      <c r="P169" s="1" cm="1">
        <f t="array" ref="P16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100</v>
      </c>
      <c r="Q169" s="5" cm="1">
        <f t="array" ref="Q16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4024.69</v>
      </c>
      <c r="R169" s="4">
        <f ca="1">MAX(0,TODAY()-PipelineTable[[#This Row],[LastContactDate]]-14)</f>
        <v>41</v>
      </c>
    </row>
    <row r="170" spans="1:18">
      <c r="A170" t="s">
        <v>408</v>
      </c>
      <c r="B170" t="s">
        <v>232</v>
      </c>
      <c r="C170" t="s">
        <v>52</v>
      </c>
      <c r="D170" t="s">
        <v>22</v>
      </c>
      <c r="E170" s="1">
        <v>44040</v>
      </c>
      <c r="F170" s="2">
        <v>0.32</v>
      </c>
      <c r="G170" t="s">
        <v>82</v>
      </c>
      <c r="H170" s="3">
        <v>45752</v>
      </c>
      <c r="I170" t="s">
        <v>101</v>
      </c>
      <c r="J170" s="4">
        <v>29</v>
      </c>
      <c r="K170" t="s">
        <v>43</v>
      </c>
      <c r="M170" t="s">
        <v>26</v>
      </c>
      <c r="N170" t="s">
        <v>27</v>
      </c>
      <c r="O170" s="1">
        <f>PipelineTable[[#This Row],[DealValue]]*PipelineTable[[#This Row],[Probability]]</f>
        <v>14092.800000000001</v>
      </c>
      <c r="P170" s="1" cm="1">
        <f t="array" ref="P17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937.5</v>
      </c>
      <c r="Q170" s="5" cm="1">
        <f t="array" ref="Q17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46.976000000000006</v>
      </c>
      <c r="R170" s="4">
        <f ca="1">MAX(0,TODAY()-PipelineTable[[#This Row],[LastContactDate]]-14)</f>
        <v>274</v>
      </c>
    </row>
    <row r="171" spans="1:18">
      <c r="A171" t="s">
        <v>409</v>
      </c>
      <c r="B171" t="s">
        <v>410</v>
      </c>
      <c r="C171" t="s">
        <v>31</v>
      </c>
      <c r="D171" t="s">
        <v>40</v>
      </c>
      <c r="E171" s="1">
        <v>17673</v>
      </c>
      <c r="F171" s="2">
        <v>0.44</v>
      </c>
      <c r="G171" t="s">
        <v>54</v>
      </c>
      <c r="H171" s="3">
        <v>45909</v>
      </c>
      <c r="I171" t="s">
        <v>131</v>
      </c>
      <c r="J171" s="4">
        <v>33</v>
      </c>
      <c r="K171" t="s">
        <v>43</v>
      </c>
      <c r="M171" t="s">
        <v>36</v>
      </c>
      <c r="N171" t="s">
        <v>27</v>
      </c>
      <c r="O171" s="1">
        <f>PipelineTable[[#This Row],[DealValue]]*PipelineTable[[#This Row],[Probability]]</f>
        <v>7776.12</v>
      </c>
      <c r="P171" s="1" cm="1">
        <f t="array" ref="P17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681.81818181818187</v>
      </c>
      <c r="Q171" s="5" cm="1">
        <f t="array" ref="Q17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25.920400000000001</v>
      </c>
      <c r="R171" s="4">
        <f ca="1">MAX(0,TODAY()-PipelineTable[[#This Row],[LastContactDate]]-14)</f>
        <v>117</v>
      </c>
    </row>
    <row r="172" spans="1:18">
      <c r="A172" t="s">
        <v>411</v>
      </c>
      <c r="B172" t="s">
        <v>412</v>
      </c>
      <c r="C172" t="s">
        <v>73</v>
      </c>
      <c r="D172" t="s">
        <v>40</v>
      </c>
      <c r="E172" s="1">
        <v>24439</v>
      </c>
      <c r="F172" s="2">
        <v>0.57999999999999996</v>
      </c>
      <c r="G172" t="s">
        <v>47</v>
      </c>
      <c r="H172" s="3">
        <v>45794</v>
      </c>
      <c r="I172" t="s">
        <v>42</v>
      </c>
      <c r="J172" s="4">
        <v>30</v>
      </c>
      <c r="K172" t="s">
        <v>102</v>
      </c>
      <c r="M172" t="s">
        <v>36</v>
      </c>
      <c r="N172" t="s">
        <v>37</v>
      </c>
      <c r="O172" s="1">
        <f>PipelineTable[[#This Row],[DealValue]]*PipelineTable[[#This Row],[Probability]]</f>
        <v>14174.619999999999</v>
      </c>
      <c r="P172" s="1" cm="1">
        <f t="array" ref="P172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172.41379310344828</v>
      </c>
      <c r="Q172" s="5" cm="1">
        <f t="array" ref="Q172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141.74619999999999</v>
      </c>
      <c r="R172" s="4">
        <f ca="1">MAX(0,TODAY()-PipelineTable[[#This Row],[LastContactDate]]-14)</f>
        <v>232</v>
      </c>
    </row>
    <row r="173" spans="1:18">
      <c r="A173" t="s">
        <v>413</v>
      </c>
      <c r="B173" t="s">
        <v>184</v>
      </c>
      <c r="C173" t="s">
        <v>57</v>
      </c>
      <c r="D173" t="s">
        <v>32</v>
      </c>
      <c r="E173" s="1">
        <v>15819</v>
      </c>
      <c r="F173" s="2">
        <v>0.11</v>
      </c>
      <c r="G173" t="s">
        <v>33</v>
      </c>
      <c r="H173" s="3">
        <v>45815</v>
      </c>
      <c r="I173" t="s">
        <v>175</v>
      </c>
      <c r="J173" s="4">
        <v>16</v>
      </c>
      <c r="K173" t="s">
        <v>61</v>
      </c>
      <c r="M173" t="s">
        <v>26</v>
      </c>
      <c r="N173" t="s">
        <v>44</v>
      </c>
      <c r="O173" s="1">
        <f>PipelineTable[[#This Row],[DealValue]]*PipelineTable[[#This Row],[Probability]]</f>
        <v>1740.09</v>
      </c>
      <c r="P173" s="1" cm="1">
        <f t="array" ref="P173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1818.1818181818182</v>
      </c>
      <c r="Q173" s="5" cm="1">
        <f t="array" ref="Q173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8.70045</v>
      </c>
      <c r="R173" s="4">
        <f ca="1">MAX(0,TODAY()-PipelineTable[[#This Row],[LastContactDate]]-14)</f>
        <v>211</v>
      </c>
    </row>
    <row r="174" spans="1:18">
      <c r="A174" t="s">
        <v>414</v>
      </c>
      <c r="B174" t="s">
        <v>141</v>
      </c>
      <c r="C174" t="s">
        <v>73</v>
      </c>
      <c r="D174" t="s">
        <v>40</v>
      </c>
      <c r="E174" s="1">
        <v>11540</v>
      </c>
      <c r="F174" s="2">
        <v>0.6</v>
      </c>
      <c r="G174" t="s">
        <v>54</v>
      </c>
      <c r="H174" s="3">
        <v>45760</v>
      </c>
      <c r="J174" s="4">
        <v>22</v>
      </c>
      <c r="K174" t="s">
        <v>35</v>
      </c>
      <c r="M174" t="s">
        <v>49</v>
      </c>
      <c r="N174" t="s">
        <v>27</v>
      </c>
      <c r="O174" s="1">
        <f>PipelineTable[[#This Row],[DealValue]]*PipelineTable[[#This Row],[Probability]]</f>
        <v>6924</v>
      </c>
      <c r="P174" s="1" cm="1">
        <f t="array" ref="P174">_xlfn.LET(_xlpm.cpl,IFERROR(_xlfn.XLOOKUP(PipelineTable[[#This Row],[Source]],SourceMetrics[Source],SourceMetrics[CostPerLead]),""),IF(AND(_xlpm.cpl&lt;&gt;"",PipelineTable[[#This Row],[Probability]]&gt;0),_xlpm.cpl/PipelineTable[[#This Row],[Probability]],""))</f>
        <v>500</v>
      </c>
      <c r="Q174" s="5" cm="1">
        <f t="array" ref="Q174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23.08</v>
      </c>
      <c r="R174" s="4">
        <f ca="1">MAX(0,TODAY()-PipelineTable[[#This Row],[LastContactDate]]-14)</f>
        <v>266</v>
      </c>
    </row>
    <row r="175" spans="1:18">
      <c r="A175" t="s">
        <v>415</v>
      </c>
      <c r="B175" t="s">
        <v>416</v>
      </c>
      <c r="C175" t="s">
        <v>57</v>
      </c>
      <c r="D175" t="s">
        <v>40</v>
      </c>
      <c r="E175" s="1">
        <v>77840</v>
      </c>
      <c r="F175" s="2">
        <v>0.42</v>
      </c>
      <c r="G175" t="s">
        <v>82</v>
      </c>
      <c r="H175" s="3">
        <v>45923</v>
      </c>
      <c r="I175" t="s">
        <v>161</v>
      </c>
      <c r="J175" s="4">
        <v>27</v>
      </c>
      <c r="K175" t="s">
        <v>61</v>
      </c>
      <c r="M175" t="s">
        <v>36</v>
      </c>
      <c r="N175" t="s">
        <v>27</v>
      </c>
      <c r="O175" s="1">
        <f>PipelineTable[[#This Row],[DealValue]]*PipelineTable[[#This Row],[Probability]]</f>
        <v>32692.799999999999</v>
      </c>
      <c r="P175" s="1" cm="1">
        <f t="array" ref="P175">_xlfn.LET(_xlpm.cpl,IFERROR(_xlfn.XLOOKUP(PipelineTable[[#This Row],[Source]],SourceMetrics[Source],SourceMetrics[CostPerLead]),""),IF(AND(_xlpm.cpl&lt;&gt;"",PipelineTable[[#This Row],[Probability]]&gt;0),_xlpm.cpl/PipelineTable[[#This Row],[Probability]],""))</f>
        <v>714.28571428571433</v>
      </c>
      <c r="Q175" s="5" cm="1">
        <f t="array" ref="Q175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108.976</v>
      </c>
      <c r="R175" s="4">
        <f ca="1">MAX(0,TODAY()-PipelineTable[[#This Row],[LastContactDate]]-14)</f>
        <v>103</v>
      </c>
    </row>
    <row r="176" spans="1:18">
      <c r="A176" t="s">
        <v>417</v>
      </c>
      <c r="B176" t="s">
        <v>418</v>
      </c>
      <c r="C176" t="s">
        <v>31</v>
      </c>
      <c r="D176" t="s">
        <v>74</v>
      </c>
      <c r="E176" s="1">
        <v>24851</v>
      </c>
      <c r="F176" s="2">
        <v>1</v>
      </c>
      <c r="G176" t="s">
        <v>60</v>
      </c>
      <c r="H176" s="3">
        <v>45842</v>
      </c>
      <c r="I176" t="s">
        <v>187</v>
      </c>
      <c r="J176" s="4">
        <v>48</v>
      </c>
      <c r="K176" t="s">
        <v>92</v>
      </c>
      <c r="M176" t="s">
        <v>49</v>
      </c>
      <c r="N176" t="s">
        <v>27</v>
      </c>
      <c r="O176" s="1">
        <f>PipelineTable[[#This Row],[DealValue]]*PipelineTable[[#This Row],[Probability]]</f>
        <v>24851</v>
      </c>
      <c r="P176" s="1" cm="1">
        <f t="array" ref="P176">_xlfn.LET(_xlpm.cpl,IFERROR(_xlfn.XLOOKUP(PipelineTable[[#This Row],[Source]],SourceMetrics[Source],SourceMetrics[CostPerLead]),""),IF(AND(_xlpm.cpl&lt;&gt;"",PipelineTable[[#This Row],[Probability]]&gt;0),_xlpm.cpl/PipelineTable[[#This Row],[Probability]],""))</f>
        <v>300</v>
      </c>
      <c r="Q176" s="5" cm="1">
        <f t="array" ref="Q176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82.836666666666673</v>
      </c>
      <c r="R176" s="4">
        <f ca="1">MAX(0,TODAY()-PipelineTable[[#This Row],[LastContactDate]]-14)</f>
        <v>184</v>
      </c>
    </row>
    <row r="177" spans="1:18">
      <c r="A177" t="s">
        <v>419</v>
      </c>
      <c r="B177" t="s">
        <v>420</v>
      </c>
      <c r="C177" t="s">
        <v>57</v>
      </c>
      <c r="D177" t="s">
        <v>53</v>
      </c>
      <c r="E177" s="1">
        <v>83681</v>
      </c>
      <c r="F177" s="2">
        <v>0.67</v>
      </c>
      <c r="G177" t="s">
        <v>41</v>
      </c>
      <c r="H177" s="3">
        <v>45917</v>
      </c>
      <c r="I177" t="s">
        <v>88</v>
      </c>
      <c r="J177" s="4">
        <v>14</v>
      </c>
      <c r="K177" t="s">
        <v>35</v>
      </c>
      <c r="M177" t="s">
        <v>26</v>
      </c>
      <c r="N177" t="s">
        <v>27</v>
      </c>
      <c r="O177" s="1">
        <f>PipelineTable[[#This Row],[DealValue]]*PipelineTable[[#This Row],[Probability]]</f>
        <v>56066.270000000004</v>
      </c>
      <c r="P177" s="1" cm="1">
        <f t="array" ref="P177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447.76119402985074</v>
      </c>
      <c r="Q177" s="5" cm="1">
        <f t="array" ref="Q177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186.88756666666669</v>
      </c>
      <c r="R177" s="4">
        <f ca="1">MAX(0,TODAY()-PipelineTable[[#This Row],[LastContactDate]]-14)</f>
        <v>109</v>
      </c>
    </row>
    <row r="178" spans="1:18">
      <c r="A178" t="s">
        <v>421</v>
      </c>
      <c r="B178" t="s">
        <v>130</v>
      </c>
      <c r="C178" t="s">
        <v>73</v>
      </c>
      <c r="D178" t="s">
        <v>40</v>
      </c>
      <c r="E178" s="1">
        <v>2790</v>
      </c>
      <c r="F178" s="2">
        <v>0.63</v>
      </c>
      <c r="G178" t="s">
        <v>23</v>
      </c>
      <c r="H178" s="3">
        <v>45667</v>
      </c>
      <c r="I178" t="s">
        <v>161</v>
      </c>
      <c r="J178" s="4">
        <v>27</v>
      </c>
      <c r="K178" t="s">
        <v>61</v>
      </c>
      <c r="M178" t="s">
        <v>49</v>
      </c>
      <c r="N178" t="s">
        <v>27</v>
      </c>
      <c r="O178" s="1">
        <f>PipelineTable[[#This Row],[DealValue]]*PipelineTable[[#This Row],[Probability]]</f>
        <v>1757.7</v>
      </c>
      <c r="P178" s="1" cm="1">
        <f t="array" ref="P178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476.1904761904762</v>
      </c>
      <c r="Q178" s="5" cm="1">
        <f t="array" ref="Q178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5.859</v>
      </c>
      <c r="R178" s="4">
        <f ca="1">MAX(0,TODAY()-PipelineTable[[#This Row],[LastContactDate]]-14)</f>
        <v>359</v>
      </c>
    </row>
    <row r="179" spans="1:18">
      <c r="A179" t="s">
        <v>422</v>
      </c>
      <c r="B179" t="s">
        <v>423</v>
      </c>
      <c r="C179" t="s">
        <v>126</v>
      </c>
      <c r="D179" t="s">
        <v>32</v>
      </c>
      <c r="E179" s="1">
        <v>21321</v>
      </c>
      <c r="F179" s="2">
        <v>0.24</v>
      </c>
      <c r="G179" t="s">
        <v>54</v>
      </c>
      <c r="H179" s="3">
        <v>45671</v>
      </c>
      <c r="J179" s="4">
        <v>4</v>
      </c>
      <c r="K179" t="s">
        <v>95</v>
      </c>
      <c r="M179" t="s">
        <v>26</v>
      </c>
      <c r="N179" t="s">
        <v>37</v>
      </c>
      <c r="O179" s="1">
        <f>PipelineTable[[#This Row],[DealValue]]*PipelineTable[[#This Row],[Probability]]</f>
        <v>5117.04</v>
      </c>
      <c r="P179" s="1" cm="1">
        <f t="array" ref="P179">_xlfn.LET(_xlpm.cpl,IFERROR(_xlfn.XLOOKUP(PipelineTable[[#This Row],[Source]],SourceMetrics[Source],SourceMetrics[CostPerLead]),""),IF(AND(_xlpm.cpl&lt;&gt;"",PipelineTable[[#This Row],[Probability]]&gt;0),_xlpm.cpl/PipelineTable[[#This Row],[Probability]],""))</f>
        <v>416.66666666666669</v>
      </c>
      <c r="Q179" s="5" cm="1">
        <f t="array" ref="Q179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51.170400000000001</v>
      </c>
      <c r="R179" s="4">
        <f ca="1">MAX(0,TODAY()-PipelineTable[[#This Row],[LastContactDate]]-14)</f>
        <v>355</v>
      </c>
    </row>
    <row r="180" spans="1:18">
      <c r="A180" t="s">
        <v>424</v>
      </c>
      <c r="B180" t="s">
        <v>425</v>
      </c>
      <c r="C180" t="s">
        <v>73</v>
      </c>
      <c r="D180" t="s">
        <v>53</v>
      </c>
      <c r="E180" s="1">
        <v>46409</v>
      </c>
      <c r="F180" s="2">
        <v>0.7</v>
      </c>
      <c r="G180" t="s">
        <v>64</v>
      </c>
      <c r="H180" s="3">
        <v>45864</v>
      </c>
      <c r="I180" t="s">
        <v>158</v>
      </c>
      <c r="J180" s="4">
        <v>27</v>
      </c>
      <c r="M180" t="s">
        <v>49</v>
      </c>
      <c r="N180" t="s">
        <v>37</v>
      </c>
      <c r="O180" s="1">
        <f>PipelineTable[[#This Row],[DealValue]]*PipelineTable[[#This Row],[Probability]]</f>
        <v>32486.3</v>
      </c>
      <c r="P180" s="1" cm="1">
        <f t="array" ref="P180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142.85714285714286</v>
      </c>
      <c r="Q180" s="5" cm="1">
        <f t="array" ref="Q180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324.863</v>
      </c>
      <c r="R180" s="4">
        <f ca="1">MAX(0,TODAY()-PipelineTable[[#This Row],[LastContactDate]]-14)</f>
        <v>162</v>
      </c>
    </row>
    <row r="181" spans="1:18">
      <c r="A181" t="s">
        <v>426</v>
      </c>
      <c r="B181" t="s">
        <v>427</v>
      </c>
      <c r="C181" t="s">
        <v>57</v>
      </c>
      <c r="D181" t="s">
        <v>78</v>
      </c>
      <c r="E181" s="1">
        <v>120328</v>
      </c>
      <c r="F181" s="2">
        <v>0.2</v>
      </c>
      <c r="G181" t="s">
        <v>60</v>
      </c>
      <c r="H181" s="3">
        <v>45726</v>
      </c>
      <c r="J181" s="4">
        <v>25</v>
      </c>
      <c r="K181" t="s">
        <v>65</v>
      </c>
      <c r="L181" t="s">
        <v>307</v>
      </c>
      <c r="M181" t="s">
        <v>49</v>
      </c>
      <c r="N181" t="s">
        <v>27</v>
      </c>
      <c r="O181" s="1">
        <f>PipelineTable[[#This Row],[DealValue]]*PipelineTable[[#This Row],[Probability]]</f>
        <v>24065.600000000002</v>
      </c>
      <c r="P181" s="1" cm="1">
        <f t="array" ref="P181">_xlfn.LET(_xlpm.cpl,IFERROR(_xlfn.XLOOKUP(PipelineTable[[#This Row],[Source]],SourceMetrics[Source],SourceMetrics[CostPerLead]),""),IF(AND(_xlpm.cpl&lt;&gt;"",PipelineTable[[#This Row],[Probability]]&gt;0),_xlpm.cpl/PipelineTable[[#This Row],[Probability]],""))</f>
        <v>1500</v>
      </c>
      <c r="Q181" s="5" cm="1">
        <f t="array" ref="Q181">_xlfn.LET(_xlpm.cpl,IFERROR(_xlfn.XLOOKUP(PipelineTable[[#This Row],[Source]],SourceMetrics[Source],SourceMetrics[CostPerLead]),""),_xlpm.rev,IF(PipelineTable[[#This Row],[DealStage]]="Closed Won",PipelineTable[[#This Row],[DealValue]],PipelineTable[[#This Row],[WeightedValue]]),IF(AND(_xlpm.cpl&lt;&gt;"",_xlpm.cpl&gt;0),_xlpm.rev/_xlpm.cpl,""))</f>
        <v>80.218666666666678</v>
      </c>
      <c r="R181" s="4">
        <f ca="1">MAX(0,TODAY()-PipelineTable[[#This Row],[LastContactDate]]-14)</f>
        <v>300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2026-01-18T00:06:44Z</dcterms:created>
  <dcterms:modified xsi:type="dcterms:W3CDTF">2026-01-18T18:54:17Z</dcterms:modified>
  <cp:category/>
  <cp:contentStatus/>
</cp:coreProperties>
</file>