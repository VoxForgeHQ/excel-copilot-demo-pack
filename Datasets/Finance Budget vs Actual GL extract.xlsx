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A4C3BCAF-78D9-44D5-865A-E8CFCB473F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nce_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I2" i="2"/>
  <c r="I11" i="2"/>
  <c r="I44" i="2"/>
  <c r="I101" i="2"/>
  <c r="I198" i="2"/>
  <c r="H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H199" i="2"/>
  <c r="I199" i="2" s="1"/>
  <c r="H200" i="2"/>
  <c r="I200" i="2" s="1"/>
  <c r="H201" i="2"/>
  <c r="I201" i="2" s="1"/>
</calcChain>
</file>

<file path=xl/sharedStrings.xml><?xml version="1.0" encoding="utf-8"?>
<sst xmlns="http://schemas.openxmlformats.org/spreadsheetml/2006/main" count="1590" uniqueCount="354">
  <si>
    <t>Month</t>
  </si>
  <si>
    <t>Department</t>
  </si>
  <si>
    <t>Account</t>
  </si>
  <si>
    <t>Vendor</t>
  </si>
  <si>
    <t>Description</t>
  </si>
  <si>
    <t>Budget</t>
  </si>
  <si>
    <t>Actual</t>
  </si>
  <si>
    <t>Variance</t>
  </si>
  <si>
    <t>Variance_%</t>
  </si>
  <si>
    <t>Notes</t>
  </si>
  <si>
    <t>ApprovalStatus</t>
  </si>
  <si>
    <t>RiskFlag</t>
  </si>
  <si>
    <t>WeightedValue</t>
  </si>
  <si>
    <t>CAC</t>
  </si>
  <si>
    <t>ROAS</t>
  </si>
  <si>
    <t>DaysLate</t>
  </si>
  <si>
    <t>2025-11</t>
  </si>
  <si>
    <t>IT</t>
  </si>
  <si>
    <t>Refunds</t>
  </si>
  <si>
    <t>Acme Retail</t>
  </si>
  <si>
    <t>Service credit issued - IT</t>
  </si>
  <si>
    <t>Missing receipt</t>
  </si>
  <si>
    <t>Missing data</t>
  </si>
  <si>
    <t>2025-10</t>
  </si>
  <si>
    <t>HR</t>
  </si>
  <si>
    <t>Advertising</t>
  </si>
  <si>
    <t>Meta</t>
  </si>
  <si>
    <t>Paid search campaign - HR</t>
  </si>
  <si>
    <t>2025-02</t>
  </si>
  <si>
    <t>Ops</t>
  </si>
  <si>
    <t>Revenue</t>
  </si>
  <si>
    <t>Initech</t>
  </si>
  <si>
    <t>Monthly subscription invoices - Ops</t>
  </si>
  <si>
    <t>2025-06</t>
  </si>
  <si>
    <t>Marketing</t>
  </si>
  <si>
    <t>Supplies</t>
  </si>
  <si>
    <t>Office Depot</t>
  </si>
  <si>
    <t>Shipping materials - Marketing</t>
  </si>
  <si>
    <t>Needs review</t>
  </si>
  <si>
    <t>Outlier</t>
  </si>
  <si>
    <t>2025-01</t>
  </si>
  <si>
    <t>Utilities</t>
  </si>
  <si>
    <t>ConEd</t>
  </si>
  <si>
    <t>Electricity &amp; water - HR</t>
  </si>
  <si>
    <t>Reviewed 2025-01; utilities recorded</t>
  </si>
  <si>
    <t>Approved</t>
  </si>
  <si>
    <t>OK</t>
  </si>
  <si>
    <t>2025-12</t>
  </si>
  <si>
    <t>Globex Corp</t>
  </si>
  <si>
    <t>Chargeback - HR</t>
  </si>
  <si>
    <t>Reviewed 2025-12; refunds recorded</t>
  </si>
  <si>
    <t>2025-05</t>
  </si>
  <si>
    <t>Cleaning supplies - IT</t>
  </si>
  <si>
    <t>Reviewed 2025-05; supplies recorded</t>
  </si>
  <si>
    <t>2025-09</t>
  </si>
  <si>
    <t>COGS</t>
  </si>
  <si>
    <t>NFI</t>
  </si>
  <si>
    <t>Production inputs - HR</t>
  </si>
  <si>
    <t>Reviewed 2025-09; cogs recorded</t>
  </si>
  <si>
    <t>Sales</t>
  </si>
  <si>
    <t>Usage-based charges - Sales</t>
  </si>
  <si>
    <t>Reviewed 2025-11; revenue recorded</t>
  </si>
  <si>
    <t>Software</t>
  </si>
  <si>
    <t>Microsoft</t>
  </si>
  <si>
    <t>Cloud services - IT</t>
  </si>
  <si>
    <t>Reviewed 2025-01; software recorded</t>
  </si>
  <si>
    <t>Chargeback - IT</t>
  </si>
  <si>
    <t>Payroll</t>
  </si>
  <si>
    <t>Paychex</t>
  </si>
  <si>
    <t>Month-end payroll true-up - HR</t>
  </si>
  <si>
    <t>Reviewed 2025-02; payroll recorded</t>
  </si>
  <si>
    <t>2025-07</t>
  </si>
  <si>
    <t>Northwind Traders</t>
  </si>
  <si>
    <t>Monthly subscription invoices - Sales</t>
  </si>
  <si>
    <t>Reviewed 2025-07; revenue recorded</t>
  </si>
  <si>
    <t>AMZN Business</t>
  </si>
  <si>
    <t>Printer ink &amp; paper - HR</t>
  </si>
  <si>
    <t>Reviewed 2025-02; supplies recorded</t>
  </si>
  <si>
    <t>2025-03</t>
  </si>
  <si>
    <t>Rent</t>
  </si>
  <si>
    <t>Riverfront Holdings</t>
  </si>
  <si>
    <t>Warehouse rent - Sales</t>
  </si>
  <si>
    <t>Reviewed 2025-03; rent recorded</t>
  </si>
  <si>
    <t>Travel</t>
  </si>
  <si>
    <t>United Airlines</t>
  </si>
  <si>
    <t>Conference travel - IT</t>
  </si>
  <si>
    <t>Reviewed 2025-10; travel recorded</t>
  </si>
  <si>
    <t>Staples</t>
  </si>
  <si>
    <t>Shipping materials - Ops</t>
  </si>
  <si>
    <t>Reviewed 2025-12; supplies recorded</t>
  </si>
  <si>
    <t>Gusto</t>
  </si>
  <si>
    <t>Bonuses &amp; commissions - HR</t>
  </si>
  <si>
    <t>Reviewed 2025-09; payroll recorded</t>
  </si>
  <si>
    <t>2025-08</t>
  </si>
  <si>
    <t>Justworks</t>
  </si>
  <si>
    <t>Bi-weekly payroll - Marketing</t>
  </si>
  <si>
    <t>Reviewed 2025-08; payroll recorded</t>
  </si>
  <si>
    <t>Phone service - Sales</t>
  </si>
  <si>
    <t>Reviewed 2025-07; utilities recorded</t>
  </si>
  <si>
    <t>Contractors</t>
  </si>
  <si>
    <t>Upwork</t>
  </si>
  <si>
    <t>Temp staffing - Marketing</t>
  </si>
  <si>
    <t>Reviewed 2025-11; contractors recorded</t>
  </si>
  <si>
    <t>Finance</t>
  </si>
  <si>
    <t>ADP</t>
  </si>
  <si>
    <t>Bonuses &amp; commissions - Finance</t>
  </si>
  <si>
    <t>Reviewed 2025-11; payroll recorded</t>
  </si>
  <si>
    <t>GOOGLE</t>
  </si>
  <si>
    <t>Social media ads - Ops</t>
  </si>
  <si>
    <t>Reviewed 2025-09; advertising recorded</t>
  </si>
  <si>
    <t>2025-04</t>
  </si>
  <si>
    <t>Tech Data</t>
  </si>
  <si>
    <t>Wholesale purchase order - Ops</t>
  </si>
  <si>
    <t>Reviewed 2025-04; cogs recorded</t>
  </si>
  <si>
    <t>BlueSky LLC</t>
  </si>
  <si>
    <t>Customer refund processed - Ops</t>
  </si>
  <si>
    <t>Reviewed 2025-06; refunds recorded</t>
  </si>
  <si>
    <t>AT&amp;T</t>
  </si>
  <si>
    <t>Internet service - Finance</t>
  </si>
  <si>
    <t>Reviewed 2025-05; utilities recorded</t>
  </si>
  <si>
    <t>Marriott</t>
  </si>
  <si>
    <t>Team offsite travel - HR</t>
  </si>
  <si>
    <t>Reviewed 2025-04; travel recorded</t>
  </si>
  <si>
    <t>Chargeback - Marketing</t>
  </si>
  <si>
    <t>Reviewed 2025-07; refunds recorded</t>
  </si>
  <si>
    <t>Electricity &amp; water - Marketing</t>
  </si>
  <si>
    <t>Reviewed 2025-11; utilities recorded</t>
  </si>
  <si>
    <t>Verizon</t>
  </si>
  <si>
    <t>Electricity &amp; water - Ops</t>
  </si>
  <si>
    <t>Wayne Enterprises</t>
  </si>
  <si>
    <t>Project milestone billing - Marketing</t>
  </si>
  <si>
    <t>Reviewed 2025-04; revenue recorded</t>
  </si>
  <si>
    <t>Office supplies order - Finance</t>
  </si>
  <si>
    <t>Reviewed 2025-09; supplies recorded</t>
  </si>
  <si>
    <t>Mailchimp</t>
  </si>
  <si>
    <t>Sponsorship placement - Sales</t>
  </si>
  <si>
    <t>Reviewed 2025-04; advertising recorded</t>
  </si>
  <si>
    <t>Productivity suite - Finance</t>
  </si>
  <si>
    <t>Renewal receipts - Sales</t>
  </si>
  <si>
    <t>Hilton</t>
  </si>
  <si>
    <t>Team offsite travel - Sales</t>
  </si>
  <si>
    <t>Reviewed 2025-07; travel recorded</t>
  </si>
  <si>
    <t>Brand awareness push - Ops</t>
  </si>
  <si>
    <t>Reviewed 2025-11; advertising recorded</t>
  </si>
  <si>
    <t>Internet service - Marketing</t>
  </si>
  <si>
    <t>Microsoft Corp.</t>
  </si>
  <si>
    <t>License seats - Ops</t>
  </si>
  <si>
    <t>Reviewed 2025-08; software recorded</t>
  </si>
  <si>
    <t>Project milestone billing - HR</t>
  </si>
  <si>
    <t>Internet service - Sales</t>
  </si>
  <si>
    <t>Reviewed 2025-02; utilities recorded</t>
  </si>
  <si>
    <t>Printer ink &amp; paper - Sales</t>
  </si>
  <si>
    <t>Reviewed 2025-01; supplies recorded</t>
  </si>
  <si>
    <t>HubSpot</t>
  </si>
  <si>
    <t>Reviewed 2025-05; advertising recorded</t>
  </si>
  <si>
    <t>Social media ads - Sales</t>
  </si>
  <si>
    <t>Reviewed 2025-12; advertising recorded</t>
  </si>
  <si>
    <t>Payroll taxes - Sales</t>
  </si>
  <si>
    <t>Sunset Office Park</t>
  </si>
  <si>
    <t>Office lease payment - Ops</t>
  </si>
  <si>
    <t>Downtown Realty</t>
  </si>
  <si>
    <t>Shared workspace fees - Marketing</t>
  </si>
  <si>
    <t>Reviewed 2025-08; rent recorded</t>
  </si>
  <si>
    <t>Amazon</t>
  </si>
  <si>
    <t>Printer ink &amp; paper - Marketing</t>
  </si>
  <si>
    <t>Reviewed 2025-11; supplies recorded</t>
  </si>
  <si>
    <t>Fiverr</t>
  </si>
  <si>
    <t>Engineering contractor - Ops</t>
  </si>
  <si>
    <t>Month-end payroll true-up - IT</t>
  </si>
  <si>
    <t>Reviewed 2025-06; payroll recorded</t>
  </si>
  <si>
    <t>Google Ads</t>
  </si>
  <si>
    <t>Social media ads - Finance</t>
  </si>
  <si>
    <t>Brand awareness push - IT</t>
  </si>
  <si>
    <t>Reviewed 2025-02; advertising recorded</t>
  </si>
  <si>
    <t>Office lease payment - Finance</t>
  </si>
  <si>
    <t>Reviewed 2025-12; rent recorded</t>
  </si>
  <si>
    <t>Chargeback - Sales</t>
  </si>
  <si>
    <t>Reviewed 2025-02; refunds recorded</t>
  </si>
  <si>
    <t>Comcast Business</t>
  </si>
  <si>
    <t>Reviewed 2025-09; refunds recorded</t>
  </si>
  <si>
    <t>Chargeback - Ops</t>
  </si>
  <si>
    <t>Reviewed 2025-08; refunds recorded</t>
  </si>
  <si>
    <t>Internet service - HR</t>
  </si>
  <si>
    <t>Reviewed 2025-03; utilities recorded</t>
  </si>
  <si>
    <t>Uline</t>
  </si>
  <si>
    <t>Inventory replenishment - HR</t>
  </si>
  <si>
    <t>Reviewed 2025-06; cogs recorded</t>
  </si>
  <si>
    <t>Phone service - Ops</t>
  </si>
  <si>
    <t>Shared workspace fees - Sales</t>
  </si>
  <si>
    <t>Reviewed 2025-07; rent recorded</t>
  </si>
  <si>
    <t>Project milestone billing - Ops</t>
  </si>
  <si>
    <t>Reviewed 2025-06; revenue recorded</t>
  </si>
  <si>
    <t>PG&amp;E</t>
  </si>
  <si>
    <t>Phone service - Marketing</t>
  </si>
  <si>
    <t>Reviewed 2025-12; utilities recorded</t>
  </si>
  <si>
    <t>LinkedIn</t>
  </si>
  <si>
    <t>Reviewed 2025-06; advertising recorded</t>
  </si>
  <si>
    <t>Production inputs - Ops</t>
  </si>
  <si>
    <t>Atlassian</t>
  </si>
  <si>
    <t>Productivity suite - Sales</t>
  </si>
  <si>
    <t>McMaster-Carr</t>
  </si>
  <si>
    <t>Materials for fulfillment - Marketing</t>
  </si>
  <si>
    <t>Reviewed 2025-10; cogs recorded</t>
  </si>
  <si>
    <t>Delta</t>
  </si>
  <si>
    <t>Hotel &amp; airfare - Ops</t>
  </si>
  <si>
    <t>Reviewed 2025-02; travel recorded</t>
  </si>
  <si>
    <t>Electricity &amp; water - Finance</t>
  </si>
  <si>
    <t>Reviewed 2025-10; utilities recorded</t>
  </si>
  <si>
    <t>Main Street Properties</t>
  </si>
  <si>
    <t>Office lease payment - IT</t>
  </si>
  <si>
    <t>Reviewed 2025-09; rent recorded</t>
  </si>
  <si>
    <t>Reviewed 2025-07; advertising recorded</t>
  </si>
  <si>
    <t>Soylent Co</t>
  </si>
  <si>
    <t>Service credit issued - Marketing</t>
  </si>
  <si>
    <t>Reviewed 2025-11; refunds recorded</t>
  </si>
  <si>
    <t>Rippling</t>
  </si>
  <si>
    <t>Brand awareness push - Sales</t>
  </si>
  <si>
    <t>Cleaning supplies - Finance</t>
  </si>
  <si>
    <t>Reviewed 2025-04; supplies recorded</t>
  </si>
  <si>
    <t>Sponsorship placement - Marketing</t>
  </si>
  <si>
    <t>Uber</t>
  </si>
  <si>
    <t>Client visit travel - Marketing</t>
  </si>
  <si>
    <t>Reviewed 2025-04; refunds recorded</t>
  </si>
  <si>
    <t>Electricity &amp; water - IT</t>
  </si>
  <si>
    <t>Brand awareness push - Finance</t>
  </si>
  <si>
    <t>Office lease payment - Marketing</t>
  </si>
  <si>
    <t>Zoom</t>
  </si>
  <si>
    <t>Expedia</t>
  </si>
  <si>
    <t>Reviewed 2025-05; travel recorded</t>
  </si>
  <si>
    <t>Brightline Studio</t>
  </si>
  <si>
    <t>Contractor services - Finance</t>
  </si>
  <si>
    <t>Reviewed 2025-08; contractors recorded</t>
  </si>
  <si>
    <t>MSFT</t>
  </si>
  <si>
    <t>Cloud services - HR</t>
  </si>
  <si>
    <t>Reviewed 2025-11; software recorded</t>
  </si>
  <si>
    <t>Office supplies order - Sales</t>
  </si>
  <si>
    <t>Internet service - Ops</t>
  </si>
  <si>
    <t>Reviewed 2025-04; utilities recorded</t>
  </si>
  <si>
    <t>Office supplies order - Ops</t>
  </si>
  <si>
    <t>Reviewed 2025-07; supplies recorded</t>
  </si>
  <si>
    <t>Hotel &amp; airfare - Marketing</t>
  </si>
  <si>
    <t>Reviewed 2025-09; travel recorded</t>
  </si>
  <si>
    <t>Contractor services - Sales</t>
  </si>
  <si>
    <t>Shared workspace fees - HR</t>
  </si>
  <si>
    <t>Reviewed 2025-04; rent recorded</t>
  </si>
  <si>
    <t>Productivity suite - HR</t>
  </si>
  <si>
    <t>Reviewed 2025-08; utilities recorded</t>
  </si>
  <si>
    <t>Team offsite travel - Marketing</t>
  </si>
  <si>
    <t>Reviewed 2025-08; travel recorded</t>
  </si>
  <si>
    <t>ACME Consulting LLC</t>
  </si>
  <si>
    <t>Engineering contractor - HR</t>
  </si>
  <si>
    <t>Reviewed 2025-07; contractors recorded</t>
  </si>
  <si>
    <t>Bonuses &amp; commissions - Ops</t>
  </si>
  <si>
    <t>Reviewed 2025-03; payroll recorded</t>
  </si>
  <si>
    <t>Reviewed 2025-03; supplies recorded</t>
  </si>
  <si>
    <t>Costco Business</t>
  </si>
  <si>
    <t>Cleaning supplies - Sales</t>
  </si>
  <si>
    <t>Warehouse rent - IT</t>
  </si>
  <si>
    <t>Reviewed 2025-01; rent recorded</t>
  </si>
  <si>
    <t>Services rendered - HR</t>
  </si>
  <si>
    <t>Reviewed 2025-09; revenue recorded</t>
  </si>
  <si>
    <t>Reviewed 2025-05; contractors recorded</t>
  </si>
  <si>
    <t>Office supplies order - IT</t>
  </si>
  <si>
    <t>Reviewed 2025-08; supplies recorded</t>
  </si>
  <si>
    <t>Cleaning supplies - Marketing</t>
  </si>
  <si>
    <t>Nimbus Partners</t>
  </si>
  <si>
    <t>Reviewed 2025-06; contractors recorded</t>
  </si>
  <si>
    <t>Usage-based charges - Marketing</t>
  </si>
  <si>
    <t>Reviewed 2025-12; revenue recorded</t>
  </si>
  <si>
    <t>Reviewed 2025-12; travel recorded</t>
  </si>
  <si>
    <t>Service credit issued - Sales</t>
  </si>
  <si>
    <t>Service credit issued - Finance</t>
  </si>
  <si>
    <t>Grainger</t>
  </si>
  <si>
    <t>Materials for fulfillment - Ops</t>
  </si>
  <si>
    <t>Reviewed 2025-01; cogs recorded</t>
  </si>
  <si>
    <t>Customer refund processed - Marketing</t>
  </si>
  <si>
    <t>Usage-based charges - HR</t>
  </si>
  <si>
    <t>Reviewed 2025-02; revenue recorded</t>
  </si>
  <si>
    <t>Reviewed 2025-01; refunds recorded</t>
  </si>
  <si>
    <t>Bonuses &amp; commissions - IT</t>
  </si>
  <si>
    <t>Reviewed 2025-04; payroll recorded</t>
  </si>
  <si>
    <t>Reviewed 2025-01; travel recorded</t>
  </si>
  <si>
    <t>Materials for fulfillment - IT</t>
  </si>
  <si>
    <t>Shared workspace fees - Finance</t>
  </si>
  <si>
    <t>Materials for fulfillment - HR</t>
  </si>
  <si>
    <t>Reviewed 2025-03; cogs recorded</t>
  </si>
  <si>
    <t>Shipping materials - Sales</t>
  </si>
  <si>
    <t>Reviewed 2025-06; supplies recorded</t>
  </si>
  <si>
    <t>Paid search campaign - Marketing</t>
  </si>
  <si>
    <t>Sysco</t>
  </si>
  <si>
    <t>Reviewed 2025-07; cogs recorded</t>
  </si>
  <si>
    <t>Usage-based charges - Ops</t>
  </si>
  <si>
    <t>Fastenal</t>
  </si>
  <si>
    <t>Production inputs - Marketing</t>
  </si>
  <si>
    <t>Reviewed 2025-08; cogs recorded</t>
  </si>
  <si>
    <t>Payroll taxes - IT</t>
  </si>
  <si>
    <t>Reviewed 2025-05; payroll recorded</t>
  </si>
  <si>
    <t>Retargeting campaign - HR</t>
  </si>
  <si>
    <t>Adobe Inc.</t>
  </si>
  <si>
    <t>Reviewed 2025-07; software recorded</t>
  </si>
  <si>
    <t>Conference travel - HR</t>
  </si>
  <si>
    <t>Shipping materials - Finance</t>
  </si>
  <si>
    <t>Security tooling - Sales</t>
  </si>
  <si>
    <t>Reviewed 2025-06; utilities recorded</t>
  </si>
  <si>
    <t>Synnex</t>
  </si>
  <si>
    <t>Inventory replenishment - Sales</t>
  </si>
  <si>
    <t>Reviewed 2025-12; cogs recorded</t>
  </si>
  <si>
    <t>Engineering contractor - Marketing</t>
  </si>
  <si>
    <t>Security tooling - Ops</t>
  </si>
  <si>
    <t>Reviewed 2025-02; software recorded</t>
  </si>
  <si>
    <t>SaaS subscription renewal - Finance</t>
  </si>
  <si>
    <t>Reviewed 2025-04; software recorded</t>
  </si>
  <si>
    <t>Intuit</t>
  </si>
  <si>
    <t>SaaS subscription renewal - HR</t>
  </si>
  <si>
    <t>Reviewed 2025-03; software recorded</t>
  </si>
  <si>
    <t>QuickBooks</t>
  </si>
  <si>
    <t>SaaS subscription renewal - Marketing</t>
  </si>
  <si>
    <t>Warehouse rent - Finance</t>
  </si>
  <si>
    <t>Stark Industries</t>
  </si>
  <si>
    <t>Pacific Supply</t>
  </si>
  <si>
    <t>Umbrella Co</t>
  </si>
  <si>
    <t>Services rendered - Sales</t>
  </si>
  <si>
    <t>Overtime adjustment - IT</t>
  </si>
  <si>
    <t>Design contractor - Sales</t>
  </si>
  <si>
    <t>Acme Consulting</t>
  </si>
  <si>
    <t>Temp staffing - Finance</t>
  </si>
  <si>
    <t>Productivity suite - Ops</t>
  </si>
  <si>
    <t>Facebook Ads</t>
  </si>
  <si>
    <t>Brand awareness push - Marketing</t>
  </si>
  <si>
    <t>Reviewed 2025-08; advertising recorded</t>
  </si>
  <si>
    <t>Warehouse rent - HR</t>
  </si>
  <si>
    <t>Contractor services - Ops</t>
  </si>
  <si>
    <t>Reviewed 2025-12; contractors recorded</t>
  </si>
  <si>
    <t>Project milestone billing - Finance</t>
  </si>
  <si>
    <t>Reviewed 2025-08; revenue recorded</t>
  </si>
  <si>
    <t>Reviewed 2025-02; cogs recorded</t>
  </si>
  <si>
    <t>Temp staffing - Sales</t>
  </si>
  <si>
    <t>Reviewed 2025-04; contractors recorded</t>
  </si>
  <si>
    <t>Engineering contractor - Sales</t>
  </si>
  <si>
    <t>Materials for fulfillment - Sales</t>
  </si>
  <si>
    <t>Reviewed 2025-11; cogs recorded</t>
  </si>
  <si>
    <t>Retargeting campaign - Marketing</t>
  </si>
  <si>
    <t>Overtime adjustment - Ops</t>
  </si>
  <si>
    <t>Reviewed 2025-10; payroll recorded</t>
  </si>
  <si>
    <t>Monthly subscription invoices - Finance</t>
  </si>
  <si>
    <t>Payroll taxes - Ops</t>
  </si>
  <si>
    <t>Sponsorship placement - HR</t>
  </si>
  <si>
    <t>Conference travel - Finance</t>
  </si>
  <si>
    <t>Reviewed 2025-06; travel recorded</t>
  </si>
  <si>
    <t>Client visit travel - Finance</t>
  </si>
  <si>
    <t>Bi-weekly payroll - Ops</t>
  </si>
  <si>
    <t>Reviewed 2025-01; payroll recorded</t>
  </si>
  <si>
    <t>Reviewed 2025-09; contractors recorded</t>
  </si>
  <si>
    <t>Lyft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</si>
</sst>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1">
    <dxf>
      <numFmt numFmtId="1" formatCode="0"/>
    </dxf>
    <dxf>
      <numFmt numFmtId="2" formatCode="0.00"/>
    </dxf>
    <dxf>
      <numFmt numFmtId="164" formatCode="&quot;$&quot;#,##0.00"/>
    </dxf>
    <dxf>
      <numFmt numFmtId="164" formatCode="&quot;$&quot;#,##0.00"/>
    </dxf>
    <dxf>
      <alignment wrapText="1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wrapText="1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73A8B-C5B6-4786-95FE-85073E84C085}" name="FinanceTable" displayName="FinanceTable" ref="A1:P201" totalsRowShown="0">
  <autoFilter ref="A1:P201" xr:uid="{DB873A8B-C5B6-4786-95FE-85073E84C085}"/>
  <tableColumns count="16">
    <tableColumn id="1" xr3:uid="{44FB1E44-BB49-48CC-A79B-F46689D8E186}" name="Month" dataDxfId="10"/>
    <tableColumn id="2" xr3:uid="{210CFB89-721B-40D1-A0CA-A7EA882D88CE}" name="Department"/>
    <tableColumn id="3" xr3:uid="{632E48B6-6677-4421-9550-83903F1446D1}" name="Account"/>
    <tableColumn id="4" xr3:uid="{A78FDD1C-14C7-4464-B113-F84E44C3E18C}" name="Vendor"/>
    <tableColumn id="5" xr3:uid="{E27BFAF9-6A68-44A5-B10C-AF75BAF84D48}" name="Description" dataDxfId="9"/>
    <tableColumn id="6" xr3:uid="{1855CADE-73B2-4E62-ABF4-20243F693885}" name="Budget" dataDxfId="8"/>
    <tableColumn id="7" xr3:uid="{5BD79548-DF29-4EFF-9EEC-75FB585B611C}" name="Actual" dataDxfId="7"/>
    <tableColumn id="8" xr3:uid="{4AC8EAA5-DAF1-47EF-A30E-843A0BF2A240}" name="Variance" dataDxfId="6">
      <calculatedColumnFormula>FinanceTable[[#This Row],[Actual]]-FinanceTable[[#This Row],[Budget]]</calculatedColumnFormula>
    </tableColumn>
    <tableColumn id="9" xr3:uid="{2E4E1708-4D86-4ED1-9986-11EAE907451F}" name="Variance_%" dataDxfId="5">
      <calculatedColumnFormula>IF(FinanceTable[[#This Row],[Budget]]=0,0,FinanceTable[[#This Row],[Variance]]/FinanceTable[[#This Row],[Budget]])</calculatedColumnFormula>
    </tableColumn>
    <tableColumn id="10" xr3:uid="{C44750BE-42A4-4AEF-8B36-A64688D27595}" name="Notes" dataDxfId="4"/>
    <tableColumn id="11" xr3:uid="{F246BB9C-7F2F-4900-B90B-3B26E868D14F}" name="ApprovalStatus"/>
    <tableColumn id="12" xr3:uid="{CCE4FB9A-F580-4D5D-A7AF-EC73AB27BEE5}" name="RiskFlag"/>
    <tableColumn id="13" xr3:uid="{F205A242-CA6B-4CBE-AB04-7E021521502C}" name="WeightedValue" dataDxfId="3">
      <calculatedColumnFormula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calculatedColumnFormula>
    </tableColumn>
    <tableColumn id="14" xr3:uid="{C97D0D85-FFB6-4488-A95C-102BBEABDD1C}" name="CAC" dataDxfId="2">
      <calculatedColumnFormula>IF(FinanceTable[[#This Row],[Account]]="Advertising",IFERROR(FinanceTable[[#This Row],[Actual]]/(MAX(1,SUMIFS(FinanceTable[Actual],FinanceTable[Month],FinanceTable[[#This Row],[Month]],FinanceTable[Account],"Revenue")/1000)),""),"")</calculatedColumnFormula>
    </tableColumn>
    <tableColumn id="15" xr3:uid="{68ACC583-CE44-4B3F-AB9B-D642389A380B}" name="ROAS" dataDxfId="1">
      <calculatedColumnFormula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calculatedColumnFormula>
    </tableColumn>
    <tableColumn id="16" xr3:uid="{DD492DAD-1531-4FC8-9F32-CE30F8ABC2DE}" name="DaysLate" dataDxfId="0">
      <calculatedColumnFormula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16D8-0838-4302-8B00-3D88A5DA7341}">
  <dimension ref="A1:P201"/>
  <sheetViews>
    <sheetView tabSelected="1" workbookViewId="0"/>
  </sheetViews>
  <sheetFormatPr defaultRowHeight="15"/>
  <cols>
    <col min="2" max="2" width="14" bestFit="1" customWidth="1"/>
    <col min="3" max="3" width="11.140625" bestFit="1" customWidth="1"/>
    <col min="4" max="4" width="20.5703125" bestFit="1" customWidth="1"/>
    <col min="5" max="5" width="13.28515625" bestFit="1" customWidth="1"/>
    <col min="6" max="8" width="11.7109375" bestFit="1" customWidth="1"/>
    <col min="9" max="9" width="13.5703125" bestFit="1" customWidth="1"/>
    <col min="11" max="11" width="16.85546875" bestFit="1" customWidth="1"/>
    <col min="12" max="12" width="11.85546875" bestFit="1" customWidth="1"/>
    <col min="13" max="13" width="16.85546875" bestFit="1" customWidth="1"/>
    <col min="14" max="14" width="10.5703125" bestFit="1" customWidth="1"/>
    <col min="15" max="15" width="8.140625" bestFit="1" customWidth="1"/>
    <col min="16" max="16" width="11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.75">
      <c r="A2" s="1" t="s">
        <v>16</v>
      </c>
      <c r="B2" t="s">
        <v>17</v>
      </c>
      <c r="C2" t="s">
        <v>18</v>
      </c>
      <c r="D2" t="s">
        <v>19</v>
      </c>
      <c r="E2" s="4" t="s">
        <v>20</v>
      </c>
      <c r="F2" s="2">
        <v>0</v>
      </c>
      <c r="G2" s="2">
        <v>4493.43</v>
      </c>
      <c r="H2" s="2">
        <f>FinanceTable[[#This Row],[Actual]]-FinanceTable[[#This Row],[Budget]]</f>
        <v>4493.43</v>
      </c>
      <c r="I2" s="3">
        <f>IF(FinanceTable[[#This Row],[Budget]]=0,0,FinanceTable[[#This Row],[Variance]]/FinanceTable[[#This Row],[Budget]])</f>
        <v>0</v>
      </c>
      <c r="J2" s="4"/>
      <c r="K2" t="s">
        <v>21</v>
      </c>
      <c r="L2" t="s">
        <v>22</v>
      </c>
      <c r="M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2359.0507499999999</v>
      </c>
      <c r="N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27</v>
      </c>
    </row>
    <row r="3" spans="1:16" ht="30.75">
      <c r="A3" s="1" t="s">
        <v>23</v>
      </c>
      <c r="B3" t="s">
        <v>24</v>
      </c>
      <c r="C3" t="s">
        <v>25</v>
      </c>
      <c r="D3" t="s">
        <v>26</v>
      </c>
      <c r="E3" s="4" t="s">
        <v>27</v>
      </c>
      <c r="F3" s="2">
        <v>24243.82</v>
      </c>
      <c r="G3" s="2">
        <v>27626.13</v>
      </c>
      <c r="H3" s="2">
        <f>FinanceTable[[#This Row],[Actual]]-FinanceTable[[#This Row],[Budget]]</f>
        <v>3382.3100000000013</v>
      </c>
      <c r="I3" s="3">
        <f>IF(FinanceTable[[#This Row],[Budget]]=0,0,FinanceTable[[#This Row],[Variance]]/FinanceTable[[#This Row],[Budget]])</f>
        <v>0.13951225508191373</v>
      </c>
      <c r="J3" s="4"/>
      <c r="K3" t="s">
        <v>21</v>
      </c>
      <c r="L3" t="s">
        <v>22</v>
      </c>
      <c r="M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14503.718250000002</v>
      </c>
      <c r="N3" s="2">
        <f>IF(FinanceTable[[#This Row],[Account]]="Advertising",IFERROR(FinanceTable[[#This Row],[Actual]]/(MAX(1,SUMIFS(FinanceTable[Actual],FinanceTable[Month],FinanceTable[[#This Row],[Month]],FinanceTable[Account],"Revenue")/1000)),""),"")</f>
        <v>27626.13</v>
      </c>
      <c r="O3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28</v>
      </c>
    </row>
    <row r="4" spans="1:16" ht="45.75">
      <c r="A4" s="1" t="s">
        <v>28</v>
      </c>
      <c r="B4" t="s">
        <v>29</v>
      </c>
      <c r="C4" t="s">
        <v>30</v>
      </c>
      <c r="D4" t="s">
        <v>31</v>
      </c>
      <c r="E4" s="4" t="s">
        <v>32</v>
      </c>
      <c r="F4" s="2">
        <v>71657.27</v>
      </c>
      <c r="G4" s="2">
        <v>82463.03</v>
      </c>
      <c r="H4" s="2">
        <f>FinanceTable[[#This Row],[Actual]]-FinanceTable[[#This Row],[Budget]]</f>
        <v>10805.759999999995</v>
      </c>
      <c r="I4" s="3">
        <f>IF(FinanceTable[[#This Row],[Budget]]=0,0,FinanceTable[[#This Row],[Variance]]/FinanceTable[[#This Row],[Budget]])</f>
        <v>0.15079781856048932</v>
      </c>
      <c r="J4" s="4"/>
      <c r="K4" t="s">
        <v>21</v>
      </c>
      <c r="L4" t="s">
        <v>22</v>
      </c>
      <c r="M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43293.090749999996</v>
      </c>
      <c r="N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29</v>
      </c>
    </row>
    <row r="5" spans="1:16" ht="45.75">
      <c r="A5" s="1" t="s">
        <v>33</v>
      </c>
      <c r="B5" t="s">
        <v>34</v>
      </c>
      <c r="C5" t="s">
        <v>35</v>
      </c>
      <c r="D5" t="s">
        <v>36</v>
      </c>
      <c r="E5" s="4" t="s">
        <v>37</v>
      </c>
      <c r="F5" s="2">
        <v>3719.17</v>
      </c>
      <c r="G5" s="2">
        <v>33415.58</v>
      </c>
      <c r="H5" s="2">
        <f>FinanceTable[[#This Row],[Actual]]-FinanceTable[[#This Row],[Budget]]</f>
        <v>29696.410000000003</v>
      </c>
      <c r="I5" s="3">
        <f>IF(FinanceTable[[#This Row],[Budget]]=0,0,FinanceTable[[#This Row],[Variance]]/FinanceTable[[#This Row],[Budget]])</f>
        <v>7.9846874437038382</v>
      </c>
      <c r="J5" s="4"/>
      <c r="K5" t="s">
        <v>38</v>
      </c>
      <c r="L5" t="s">
        <v>39</v>
      </c>
      <c r="M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14201.621500000001</v>
      </c>
      <c r="N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13</v>
      </c>
    </row>
    <row r="6" spans="1:16" ht="60.75">
      <c r="A6" s="1" t="s">
        <v>40</v>
      </c>
      <c r="B6" t="s">
        <v>24</v>
      </c>
      <c r="C6" t="s">
        <v>41</v>
      </c>
      <c r="D6" t="s">
        <v>42</v>
      </c>
      <c r="E6" s="4" t="s">
        <v>43</v>
      </c>
      <c r="F6" s="2">
        <v>4449.46</v>
      </c>
      <c r="G6" s="2">
        <v>4256.96</v>
      </c>
      <c r="H6" s="2">
        <f>FinanceTable[[#This Row],[Actual]]-FinanceTable[[#This Row],[Budget]]</f>
        <v>-192.5</v>
      </c>
      <c r="I6" s="3">
        <f>IF(FinanceTable[[#This Row],[Budget]]=0,0,FinanceTable[[#This Row],[Variance]]/FinanceTable[[#This Row],[Budget]])</f>
        <v>-4.3263676940572565E-2</v>
      </c>
      <c r="J6" s="4" t="s">
        <v>44</v>
      </c>
      <c r="K6" t="s">
        <v>45</v>
      </c>
      <c r="L6" t="s">
        <v>46</v>
      </c>
      <c r="M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4256.96</v>
      </c>
      <c r="N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7" spans="1:16" ht="60.75">
      <c r="A7" s="1" t="s">
        <v>47</v>
      </c>
      <c r="B7" t="s">
        <v>24</v>
      </c>
      <c r="C7" t="s">
        <v>18</v>
      </c>
      <c r="D7" t="s">
        <v>48</v>
      </c>
      <c r="E7" s="4" t="s">
        <v>49</v>
      </c>
      <c r="F7" s="2">
        <v>5758.31</v>
      </c>
      <c r="G7" s="2">
        <v>8189.75</v>
      </c>
      <c r="H7" s="2">
        <f>FinanceTable[[#This Row],[Actual]]-FinanceTable[[#This Row],[Budget]]</f>
        <v>2431.4399999999996</v>
      </c>
      <c r="I7" s="3">
        <f>IF(FinanceTable[[#This Row],[Budget]]=0,0,FinanceTable[[#This Row],[Variance]]/FinanceTable[[#This Row],[Budget]])</f>
        <v>0.42224888899694518</v>
      </c>
      <c r="J7" s="4" t="s">
        <v>50</v>
      </c>
      <c r="K7" t="s">
        <v>38</v>
      </c>
      <c r="L7" t="s">
        <v>46</v>
      </c>
      <c r="M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6961.2874999999995</v>
      </c>
      <c r="N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12</v>
      </c>
    </row>
    <row r="8" spans="1:16" ht="60.75">
      <c r="A8" s="1" t="s">
        <v>51</v>
      </c>
      <c r="B8" t="s">
        <v>17</v>
      </c>
      <c r="C8" t="s">
        <v>35</v>
      </c>
      <c r="D8" t="s">
        <v>36</v>
      </c>
      <c r="E8" s="4" t="s">
        <v>52</v>
      </c>
      <c r="F8" s="2">
        <v>4396.29</v>
      </c>
      <c r="G8" s="2">
        <v>3767.72</v>
      </c>
      <c r="H8" s="2">
        <f>FinanceTable[[#This Row],[Actual]]-FinanceTable[[#This Row],[Budget]]</f>
        <v>-628.57000000000016</v>
      </c>
      <c r="I8" s="3">
        <f>IF(FinanceTable[[#This Row],[Budget]]=0,0,FinanceTable[[#This Row],[Variance]]/FinanceTable[[#This Row],[Budget]])</f>
        <v>-0.14297737410407416</v>
      </c>
      <c r="J8" s="4" t="s">
        <v>53</v>
      </c>
      <c r="K8" t="s">
        <v>45</v>
      </c>
      <c r="L8" t="s">
        <v>46</v>
      </c>
      <c r="M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3767.72</v>
      </c>
      <c r="N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9" spans="1:16" ht="60.75">
      <c r="A9" s="1" t="s">
        <v>54</v>
      </c>
      <c r="B9" t="s">
        <v>24</v>
      </c>
      <c r="C9" t="s">
        <v>55</v>
      </c>
      <c r="D9" t="s">
        <v>56</v>
      </c>
      <c r="E9" s="4" t="s">
        <v>57</v>
      </c>
      <c r="F9" s="2">
        <v>66243.16</v>
      </c>
      <c r="G9" s="2">
        <v>76012.75</v>
      </c>
      <c r="H9" s="2">
        <f>FinanceTable[[#This Row],[Actual]]-FinanceTable[[#This Row],[Budget]]</f>
        <v>9769.5899999999965</v>
      </c>
      <c r="I9" s="3">
        <f>IF(FinanceTable[[#This Row],[Budget]]=0,0,FinanceTable[[#This Row],[Variance]]/FinanceTable[[#This Row],[Budget]])</f>
        <v>0.14748073612430318</v>
      </c>
      <c r="J9" s="4" t="s">
        <v>58</v>
      </c>
      <c r="K9" t="s">
        <v>45</v>
      </c>
      <c r="L9" t="s">
        <v>46</v>
      </c>
      <c r="M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76012.75</v>
      </c>
      <c r="N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0" spans="1:16" ht="60.75">
      <c r="A10" s="1" t="s">
        <v>16</v>
      </c>
      <c r="B10" t="s">
        <v>59</v>
      </c>
      <c r="C10" t="s">
        <v>30</v>
      </c>
      <c r="D10" t="s">
        <v>48</v>
      </c>
      <c r="E10" s="4" t="s">
        <v>60</v>
      </c>
      <c r="F10" s="2">
        <v>92302.07</v>
      </c>
      <c r="G10" s="2">
        <v>81754.98</v>
      </c>
      <c r="H10" s="2">
        <f>FinanceTable[[#This Row],[Actual]]-FinanceTable[[#This Row],[Budget]]</f>
        <v>-10547.090000000011</v>
      </c>
      <c r="I10" s="3">
        <f>IF(FinanceTable[[#This Row],[Budget]]=0,0,FinanceTable[[#This Row],[Variance]]/FinanceTable[[#This Row],[Budget]])</f>
        <v>-0.11426710148537308</v>
      </c>
      <c r="J10" s="4" t="s">
        <v>61</v>
      </c>
      <c r="K10" t="s">
        <v>45</v>
      </c>
      <c r="L10" t="s">
        <v>46</v>
      </c>
      <c r="M1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81754.98</v>
      </c>
      <c r="N1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1" spans="1:16" ht="60.75">
      <c r="A11" s="1" t="s">
        <v>40</v>
      </c>
      <c r="B11" t="s">
        <v>17</v>
      </c>
      <c r="C11" t="s">
        <v>62</v>
      </c>
      <c r="D11" t="s">
        <v>63</v>
      </c>
      <c r="E11" s="4" t="s">
        <v>64</v>
      </c>
      <c r="F11" s="2">
        <v>0</v>
      </c>
      <c r="G11" s="2">
        <v>4712.5200000000004</v>
      </c>
      <c r="H11" s="2">
        <f>FinanceTable[[#This Row],[Actual]]-FinanceTable[[#This Row],[Budget]]</f>
        <v>4712.5200000000004</v>
      </c>
      <c r="I11" s="3">
        <f>IF(FinanceTable[[#This Row],[Budget]]=0,0,FinanceTable[[#This Row],[Variance]]/FinanceTable[[#This Row],[Budget]])</f>
        <v>0</v>
      </c>
      <c r="J11" s="4" t="s">
        <v>65</v>
      </c>
      <c r="K11" t="s">
        <v>45</v>
      </c>
      <c r="L11" t="s">
        <v>46</v>
      </c>
      <c r="M1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4712.5200000000004</v>
      </c>
      <c r="N1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2" spans="1:16" ht="30.75">
      <c r="A12" s="1" t="s">
        <v>54</v>
      </c>
      <c r="B12" t="s">
        <v>17</v>
      </c>
      <c r="C12" t="s">
        <v>18</v>
      </c>
      <c r="E12" s="4" t="s">
        <v>66</v>
      </c>
      <c r="F12" s="2">
        <v>8588.6</v>
      </c>
      <c r="G12" s="2">
        <v>10434.030000000001</v>
      </c>
      <c r="H12" s="2">
        <f>FinanceTable[[#This Row],[Actual]]-FinanceTable[[#This Row],[Budget]]</f>
        <v>1845.4300000000003</v>
      </c>
      <c r="I12" s="3">
        <f>IF(FinanceTable[[#This Row],[Budget]]=0,0,FinanceTable[[#This Row],[Variance]]/FinanceTable[[#This Row],[Budget]])</f>
        <v>0.21486971101227212</v>
      </c>
      <c r="J12" s="4"/>
      <c r="K12" t="s">
        <v>38</v>
      </c>
      <c r="L12" t="s">
        <v>22</v>
      </c>
      <c r="M1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6208.2478499999997</v>
      </c>
      <c r="N1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27</v>
      </c>
    </row>
    <row r="13" spans="1:16" ht="60.75">
      <c r="A13" s="1" t="s">
        <v>28</v>
      </c>
      <c r="B13" t="s">
        <v>24</v>
      </c>
      <c r="C13" t="s">
        <v>67</v>
      </c>
      <c r="D13" t="s">
        <v>68</v>
      </c>
      <c r="E13" s="4" t="s">
        <v>69</v>
      </c>
      <c r="F13" s="2">
        <v>62165.27</v>
      </c>
      <c r="G13" s="2">
        <v>58906.89</v>
      </c>
      <c r="H13" s="2">
        <f>FinanceTable[[#This Row],[Actual]]-FinanceTable[[#This Row],[Budget]]</f>
        <v>-3258.3799999999974</v>
      </c>
      <c r="I13" s="3">
        <f>IF(FinanceTable[[#This Row],[Budget]]=0,0,FinanceTable[[#This Row],[Variance]]/FinanceTable[[#This Row],[Budget]])</f>
        <v>-5.2414796879350765E-2</v>
      </c>
      <c r="J13" s="4" t="s">
        <v>70</v>
      </c>
      <c r="K13" t="s">
        <v>45</v>
      </c>
      <c r="L13" t="s">
        <v>46</v>
      </c>
      <c r="M1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58906.89</v>
      </c>
      <c r="N1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4" spans="1:16" ht="60.75">
      <c r="A14" s="1" t="s">
        <v>71</v>
      </c>
      <c r="B14" t="s">
        <v>59</v>
      </c>
      <c r="C14" t="s">
        <v>30</v>
      </c>
      <c r="D14" t="s">
        <v>72</v>
      </c>
      <c r="E14" s="4" t="s">
        <v>73</v>
      </c>
      <c r="F14" s="2">
        <v>133610.47</v>
      </c>
      <c r="G14" s="2">
        <v>146143.54</v>
      </c>
      <c r="H14" s="2">
        <f>FinanceTable[[#This Row],[Actual]]-FinanceTable[[#This Row],[Budget]]</f>
        <v>12533.070000000007</v>
      </c>
      <c r="I14" s="3">
        <f>IF(FinanceTable[[#This Row],[Budget]]=0,0,FinanceTable[[#This Row],[Variance]]/FinanceTable[[#This Row],[Budget]])</f>
        <v>9.380305300924402E-2</v>
      </c>
      <c r="J14" s="4" t="s">
        <v>74</v>
      </c>
      <c r="K14" t="s">
        <v>45</v>
      </c>
      <c r="L14" t="s">
        <v>46</v>
      </c>
      <c r="M1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146143.54</v>
      </c>
      <c r="N1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5" spans="1:16" ht="60.75">
      <c r="A15" s="1" t="s">
        <v>28</v>
      </c>
      <c r="B15" t="s">
        <v>24</v>
      </c>
      <c r="C15" t="s">
        <v>35</v>
      </c>
      <c r="D15" t="s">
        <v>75</v>
      </c>
      <c r="E15" s="4" t="s">
        <v>76</v>
      </c>
      <c r="F15" s="2">
        <v>4826.38</v>
      </c>
      <c r="G15" s="2">
        <v>4232.6499999999996</v>
      </c>
      <c r="H15" s="2">
        <f>FinanceTable[[#This Row],[Actual]]-FinanceTable[[#This Row],[Budget]]</f>
        <v>-593.73000000000047</v>
      </c>
      <c r="I15" s="3">
        <f>IF(FinanceTable[[#This Row],[Budget]]=0,0,FinanceTable[[#This Row],[Variance]]/FinanceTable[[#This Row],[Budget]])</f>
        <v>-0.12301766541382993</v>
      </c>
      <c r="J15" s="4" t="s">
        <v>77</v>
      </c>
      <c r="K15" t="s">
        <v>45</v>
      </c>
      <c r="L15" t="s">
        <v>46</v>
      </c>
      <c r="M1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4232.6499999999996</v>
      </c>
      <c r="N1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6" spans="1:16" ht="60.75">
      <c r="A16" s="1" t="s">
        <v>78</v>
      </c>
      <c r="B16" t="s">
        <v>59</v>
      </c>
      <c r="C16" t="s">
        <v>79</v>
      </c>
      <c r="D16" t="s">
        <v>80</v>
      </c>
      <c r="E16" s="4" t="s">
        <v>81</v>
      </c>
      <c r="F16" s="2">
        <v>3754.48</v>
      </c>
      <c r="G16" s="2">
        <v>3805.61</v>
      </c>
      <c r="H16" s="2">
        <f>FinanceTable[[#This Row],[Actual]]-FinanceTable[[#This Row],[Budget]]</f>
        <v>51.130000000000109</v>
      </c>
      <c r="I16" s="3">
        <f>IF(FinanceTable[[#This Row],[Budget]]=0,0,FinanceTable[[#This Row],[Variance]]/FinanceTable[[#This Row],[Budget]])</f>
        <v>1.36183972214528E-2</v>
      </c>
      <c r="J16" s="4" t="s">
        <v>82</v>
      </c>
      <c r="K16" t="s">
        <v>45</v>
      </c>
      <c r="L16" t="s">
        <v>46</v>
      </c>
      <c r="M1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3805.61</v>
      </c>
      <c r="N1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7" spans="1:16" ht="60.75">
      <c r="A17" s="1" t="s">
        <v>23</v>
      </c>
      <c r="B17" t="s">
        <v>17</v>
      </c>
      <c r="C17" t="s">
        <v>83</v>
      </c>
      <c r="D17" t="s">
        <v>84</v>
      </c>
      <c r="E17" s="4" t="s">
        <v>85</v>
      </c>
      <c r="F17" s="2">
        <v>8805.2000000000007</v>
      </c>
      <c r="G17" s="2">
        <v>7222.18</v>
      </c>
      <c r="H17" s="2">
        <f>FinanceTable[[#This Row],[Actual]]-FinanceTable[[#This Row],[Budget]]</f>
        <v>-1583.0200000000004</v>
      </c>
      <c r="I17" s="3">
        <f>IF(FinanceTable[[#This Row],[Budget]]=0,0,FinanceTable[[#This Row],[Variance]]/FinanceTable[[#This Row],[Budget]])</f>
        <v>-0.17978240130831785</v>
      </c>
      <c r="J17" s="4" t="s">
        <v>86</v>
      </c>
      <c r="K17" t="s">
        <v>45</v>
      </c>
      <c r="L17" t="s">
        <v>46</v>
      </c>
      <c r="M1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7222.18</v>
      </c>
      <c r="N1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8" spans="1:16" ht="60.75">
      <c r="A18" s="1" t="s">
        <v>47</v>
      </c>
      <c r="B18" t="s">
        <v>29</v>
      </c>
      <c r="C18" t="s">
        <v>35</v>
      </c>
      <c r="D18" t="s">
        <v>87</v>
      </c>
      <c r="E18" s="4" t="s">
        <v>88</v>
      </c>
      <c r="F18" s="2">
        <v>4311.7</v>
      </c>
      <c r="G18" s="2">
        <v>4344.7299999999996</v>
      </c>
      <c r="H18" s="2">
        <f>FinanceTable[[#This Row],[Actual]]-FinanceTable[[#This Row],[Budget]]</f>
        <v>33.029999999999745</v>
      </c>
      <c r="I18" s="3">
        <f>IF(FinanceTable[[#This Row],[Budget]]=0,0,FinanceTable[[#This Row],[Variance]]/FinanceTable[[#This Row],[Budget]])</f>
        <v>7.6605515226012355E-3</v>
      </c>
      <c r="J18" s="4" t="s">
        <v>89</v>
      </c>
      <c r="K18" t="s">
        <v>21</v>
      </c>
      <c r="L18" t="s">
        <v>46</v>
      </c>
      <c r="M1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3258.5474999999997</v>
      </c>
      <c r="N1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33</v>
      </c>
    </row>
    <row r="19" spans="1:16" ht="60.75">
      <c r="A19" s="1" t="s">
        <v>54</v>
      </c>
      <c r="B19" t="s">
        <v>24</v>
      </c>
      <c r="C19" t="s">
        <v>67</v>
      </c>
      <c r="D19" t="s">
        <v>90</v>
      </c>
      <c r="E19" s="4" t="s">
        <v>91</v>
      </c>
      <c r="F19" s="2">
        <v>43465.05</v>
      </c>
      <c r="G19" s="2">
        <v>180639.16</v>
      </c>
      <c r="H19" s="2">
        <f>FinanceTable[[#This Row],[Actual]]-FinanceTable[[#This Row],[Budget]]</f>
        <v>137174.10999999999</v>
      </c>
      <c r="I19" s="3">
        <f>IF(FinanceTable[[#This Row],[Budget]]=0,0,FinanceTable[[#This Row],[Variance]]/FinanceTable[[#This Row],[Budget]])</f>
        <v>3.155963469500207</v>
      </c>
      <c r="J19" s="4" t="s">
        <v>92</v>
      </c>
      <c r="K19" t="s">
        <v>38</v>
      </c>
      <c r="L19" t="s">
        <v>39</v>
      </c>
      <c r="M1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76771.642999999996</v>
      </c>
      <c r="N1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11</v>
      </c>
    </row>
    <row r="20" spans="1:16" ht="60.75">
      <c r="A20" s="1" t="s">
        <v>93</v>
      </c>
      <c r="B20" t="s">
        <v>34</v>
      </c>
      <c r="C20" t="s">
        <v>67</v>
      </c>
      <c r="D20" t="s">
        <v>94</v>
      </c>
      <c r="E20" s="4" t="s">
        <v>95</v>
      </c>
      <c r="F20" s="2">
        <v>43531.79</v>
      </c>
      <c r="G20" s="2">
        <v>37218.980000000003</v>
      </c>
      <c r="H20" s="2">
        <f>FinanceTable[[#This Row],[Actual]]-FinanceTable[[#This Row],[Budget]]</f>
        <v>-6312.8099999999977</v>
      </c>
      <c r="I20" s="3">
        <f>IF(FinanceTable[[#This Row],[Budget]]=0,0,FinanceTable[[#This Row],[Variance]]/FinanceTable[[#This Row],[Budget]])</f>
        <v>-0.14501609053981004</v>
      </c>
      <c r="J20" s="4" t="s">
        <v>96</v>
      </c>
      <c r="K20" t="s">
        <v>45</v>
      </c>
      <c r="L20" t="s">
        <v>46</v>
      </c>
      <c r="M2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37218.980000000003</v>
      </c>
      <c r="N2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21" spans="1:16" ht="60.75">
      <c r="A21" s="1" t="s">
        <v>71</v>
      </c>
      <c r="B21" t="s">
        <v>59</v>
      </c>
      <c r="C21" t="s">
        <v>41</v>
      </c>
      <c r="D21" t="s">
        <v>42</v>
      </c>
      <c r="E21" s="4" t="s">
        <v>97</v>
      </c>
      <c r="F21" s="2">
        <v>3577.18</v>
      </c>
      <c r="G21" s="2">
        <v>4330.8100000000004</v>
      </c>
      <c r="H21" s="2">
        <f>FinanceTable[[#This Row],[Actual]]-FinanceTable[[#This Row],[Budget]]</f>
        <v>753.63000000000056</v>
      </c>
      <c r="I21" s="3">
        <f>IF(FinanceTable[[#This Row],[Budget]]=0,0,FinanceTable[[#This Row],[Variance]]/FinanceTable[[#This Row],[Budget]])</f>
        <v>0.21067712555700316</v>
      </c>
      <c r="J21" s="4" t="s">
        <v>98</v>
      </c>
      <c r="K21" t="s">
        <v>45</v>
      </c>
      <c r="L21" t="s">
        <v>46</v>
      </c>
      <c r="M2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4330.8100000000004</v>
      </c>
      <c r="N2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22" spans="1:16" ht="76.5">
      <c r="A22" s="1" t="s">
        <v>16</v>
      </c>
      <c r="B22" t="s">
        <v>34</v>
      </c>
      <c r="C22" t="s">
        <v>99</v>
      </c>
      <c r="D22" t="s">
        <v>100</v>
      </c>
      <c r="E22" s="4" t="s">
        <v>101</v>
      </c>
      <c r="F22" s="2">
        <v>42838.55</v>
      </c>
      <c r="G22" s="2">
        <v>59483.62</v>
      </c>
      <c r="H22" s="2">
        <f>FinanceTable[[#This Row],[Actual]]-FinanceTable[[#This Row],[Budget]]</f>
        <v>16645.07</v>
      </c>
      <c r="I22" s="3">
        <f>IF(FinanceTable[[#This Row],[Budget]]=0,0,FinanceTable[[#This Row],[Variance]]/FinanceTable[[#This Row],[Budget]])</f>
        <v>0.38855353414156174</v>
      </c>
      <c r="J22" s="4" t="s">
        <v>102</v>
      </c>
      <c r="K22" t="s">
        <v>38</v>
      </c>
      <c r="L22" t="s">
        <v>46</v>
      </c>
      <c r="M2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50561.076999999997</v>
      </c>
      <c r="N2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11</v>
      </c>
    </row>
    <row r="23" spans="1:16" ht="60.75">
      <c r="A23" s="1" t="s">
        <v>16</v>
      </c>
      <c r="B23" t="s">
        <v>103</v>
      </c>
      <c r="C23" t="s">
        <v>67</v>
      </c>
      <c r="D23" t="s">
        <v>104</v>
      </c>
      <c r="E23" s="4" t="s">
        <v>105</v>
      </c>
      <c r="F23" s="2">
        <v>51632.5</v>
      </c>
      <c r="G23" s="2">
        <v>63548.9</v>
      </c>
      <c r="H23" s="2">
        <f>FinanceTable[[#This Row],[Actual]]-FinanceTable[[#This Row],[Budget]]</f>
        <v>11916.400000000001</v>
      </c>
      <c r="I23" s="3">
        <f>IF(FinanceTable[[#This Row],[Budget]]=0,0,FinanceTable[[#This Row],[Variance]]/FinanceTable[[#This Row],[Budget]])</f>
        <v>0.23079262092674191</v>
      </c>
      <c r="J23" s="4" t="s">
        <v>106</v>
      </c>
      <c r="K23" t="s">
        <v>45</v>
      </c>
      <c r="L23" t="s">
        <v>46</v>
      </c>
      <c r="M2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63548.9</v>
      </c>
      <c r="N2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24" spans="1:16" ht="76.5">
      <c r="A24" s="1" t="s">
        <v>54</v>
      </c>
      <c r="B24" t="s">
        <v>29</v>
      </c>
      <c r="C24" t="s">
        <v>25</v>
      </c>
      <c r="D24" t="s">
        <v>107</v>
      </c>
      <c r="E24" s="4" t="s">
        <v>108</v>
      </c>
      <c r="F24" s="2">
        <v>40943.83</v>
      </c>
      <c r="G24" s="2">
        <v>41938.49</v>
      </c>
      <c r="H24" s="2">
        <f>FinanceTable[[#This Row],[Actual]]-FinanceTable[[#This Row],[Budget]]</f>
        <v>994.65999999999622</v>
      </c>
      <c r="I24" s="3">
        <f>IF(FinanceTable[[#This Row],[Budget]]=0,0,FinanceTable[[#This Row],[Variance]]/FinanceTable[[#This Row],[Budget]])</f>
        <v>2.4293281796060509E-2</v>
      </c>
      <c r="J24" s="4" t="s">
        <v>109</v>
      </c>
      <c r="K24" t="s">
        <v>45</v>
      </c>
      <c r="L24" t="s">
        <v>46</v>
      </c>
      <c r="M2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41938.49</v>
      </c>
      <c r="N24" s="2">
        <f>IF(FinanceTable[[#This Row],[Account]]="Advertising",IFERROR(FinanceTable[[#This Row],[Actual]]/(MAX(1,SUMIFS(FinanceTable[Actual],FinanceTable[Month],FinanceTable[[#This Row],[Month]],FinanceTable[Account],"Revenue")/1000)),""),"")</f>
        <v>199.88042964305853</v>
      </c>
      <c r="O24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2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25" spans="1:16" ht="60.75">
      <c r="A25" s="1" t="s">
        <v>110</v>
      </c>
      <c r="B25" t="s">
        <v>29</v>
      </c>
      <c r="C25" t="s">
        <v>55</v>
      </c>
      <c r="D25" t="s">
        <v>111</v>
      </c>
      <c r="E25" s="4" t="s">
        <v>112</v>
      </c>
      <c r="F25" s="2">
        <v>124946.69</v>
      </c>
      <c r="G25" s="2">
        <v>119809.77</v>
      </c>
      <c r="H25" s="2">
        <f>FinanceTable[[#This Row],[Actual]]-FinanceTable[[#This Row],[Budget]]</f>
        <v>-5136.9199999999983</v>
      </c>
      <c r="I25" s="3">
        <f>IF(FinanceTable[[#This Row],[Budget]]=0,0,FinanceTable[[#This Row],[Variance]]/FinanceTable[[#This Row],[Budget]])</f>
        <v>-4.1112893826959304E-2</v>
      </c>
      <c r="J25" s="4" t="s">
        <v>113</v>
      </c>
      <c r="K25" t="s">
        <v>45</v>
      </c>
      <c r="L25" t="s">
        <v>46</v>
      </c>
      <c r="M2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119809.77</v>
      </c>
      <c r="N2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26" spans="1:16" ht="60.75">
      <c r="A26" s="1" t="s">
        <v>33</v>
      </c>
      <c r="B26" t="s">
        <v>29</v>
      </c>
      <c r="C26" t="s">
        <v>18</v>
      </c>
      <c r="D26" t="s">
        <v>114</v>
      </c>
      <c r="E26" s="4" t="s">
        <v>115</v>
      </c>
      <c r="F26" s="2">
        <v>3773.96</v>
      </c>
      <c r="G26" s="2">
        <v>4857.05</v>
      </c>
      <c r="H26" s="2">
        <f>FinanceTable[[#This Row],[Actual]]-FinanceTable[[#This Row],[Budget]]</f>
        <v>1083.0900000000001</v>
      </c>
      <c r="I26" s="3">
        <f>IF(FinanceTable[[#This Row],[Budget]]=0,0,FinanceTable[[#This Row],[Variance]]/FinanceTable[[#This Row],[Budget]])</f>
        <v>0.28699032316187773</v>
      </c>
      <c r="J26" s="4" t="s">
        <v>116</v>
      </c>
      <c r="K26" t="s">
        <v>45</v>
      </c>
      <c r="L26" t="s">
        <v>46</v>
      </c>
      <c r="M2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4857.05</v>
      </c>
      <c r="N2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27" spans="1:16" ht="60.75">
      <c r="A27" s="1" t="s">
        <v>51</v>
      </c>
      <c r="B27" t="s">
        <v>103</v>
      </c>
      <c r="C27" t="s">
        <v>41</v>
      </c>
      <c r="D27" t="s">
        <v>117</v>
      </c>
      <c r="E27" s="4" t="s">
        <v>118</v>
      </c>
      <c r="F27" s="2">
        <v>3991.52</v>
      </c>
      <c r="G27" s="2">
        <v>4518.84</v>
      </c>
      <c r="H27" s="2">
        <f>FinanceTable[[#This Row],[Actual]]-FinanceTable[[#This Row],[Budget]]</f>
        <v>527.32000000000016</v>
      </c>
      <c r="I27" s="3">
        <f>IF(FinanceTable[[#This Row],[Budget]]=0,0,FinanceTable[[#This Row],[Variance]]/FinanceTable[[#This Row],[Budget]])</f>
        <v>0.13211007335551372</v>
      </c>
      <c r="J27" s="4" t="s">
        <v>119</v>
      </c>
      <c r="K27" t="s">
        <v>45</v>
      </c>
      <c r="L27" t="s">
        <v>46</v>
      </c>
      <c r="M2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4518.84</v>
      </c>
      <c r="N2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28" spans="1:16" ht="60.75">
      <c r="A28" s="1" t="s">
        <v>110</v>
      </c>
      <c r="B28" t="s">
        <v>24</v>
      </c>
      <c r="C28" t="s">
        <v>83</v>
      </c>
      <c r="D28" t="s">
        <v>120</v>
      </c>
      <c r="E28" s="4" t="s">
        <v>121</v>
      </c>
      <c r="F28" s="2">
        <v>3079.59</v>
      </c>
      <c r="G28" s="2">
        <v>2498.5100000000002</v>
      </c>
      <c r="H28" s="2">
        <f>FinanceTable[[#This Row],[Actual]]-FinanceTable[[#This Row],[Budget]]</f>
        <v>-581.07999999999993</v>
      </c>
      <c r="I28" s="3">
        <f>IF(FinanceTable[[#This Row],[Budget]]=0,0,FinanceTable[[#This Row],[Variance]]/FinanceTable[[#This Row],[Budget]])</f>
        <v>-0.18868745514825022</v>
      </c>
      <c r="J28" s="4" t="s">
        <v>122</v>
      </c>
      <c r="K28" t="s">
        <v>45</v>
      </c>
      <c r="L28" t="s">
        <v>46</v>
      </c>
      <c r="M2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2498.5100000000002</v>
      </c>
      <c r="N2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29" spans="1:16" ht="60.75">
      <c r="A29" s="1" t="s">
        <v>71</v>
      </c>
      <c r="B29" t="s">
        <v>34</v>
      </c>
      <c r="C29" t="s">
        <v>18</v>
      </c>
      <c r="D29" t="s">
        <v>114</v>
      </c>
      <c r="E29" s="4" t="s">
        <v>123</v>
      </c>
      <c r="F29" s="2">
        <v>2302.39</v>
      </c>
      <c r="G29" s="2">
        <v>1766.99</v>
      </c>
      <c r="H29" s="2">
        <f>FinanceTable[[#This Row],[Actual]]-FinanceTable[[#This Row],[Budget]]</f>
        <v>-535.39999999999986</v>
      </c>
      <c r="I29" s="3">
        <f>IF(FinanceTable[[#This Row],[Budget]]=0,0,FinanceTable[[#This Row],[Variance]]/FinanceTable[[#This Row],[Budget]])</f>
        <v>-0.23254096829815968</v>
      </c>
      <c r="J29" s="4" t="s">
        <v>124</v>
      </c>
      <c r="K29" t="s">
        <v>45</v>
      </c>
      <c r="L29" t="s">
        <v>46</v>
      </c>
      <c r="M2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1766.99</v>
      </c>
      <c r="N2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30" spans="1:16" ht="60.75">
      <c r="A30" s="1" t="s">
        <v>16</v>
      </c>
      <c r="B30" t="s">
        <v>34</v>
      </c>
      <c r="C30" t="s">
        <v>41</v>
      </c>
      <c r="E30" s="4" t="s">
        <v>125</v>
      </c>
      <c r="F30" s="2">
        <v>2176.73</v>
      </c>
      <c r="G30" s="2">
        <v>2081.06</v>
      </c>
      <c r="H30" s="2">
        <f>FinanceTable[[#This Row],[Actual]]-FinanceTable[[#This Row],[Budget]]</f>
        <v>-95.670000000000073</v>
      </c>
      <c r="I30" s="3">
        <f>IF(FinanceTable[[#This Row],[Budget]]=0,0,FinanceTable[[#This Row],[Variance]]/FinanceTable[[#This Row],[Budget]])</f>
        <v>-4.3951247972876778E-2</v>
      </c>
      <c r="J30" s="4" t="s">
        <v>126</v>
      </c>
      <c r="K30" t="s">
        <v>38</v>
      </c>
      <c r="L30" t="s">
        <v>22</v>
      </c>
      <c r="M3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1238.2306999999998</v>
      </c>
      <c r="N3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29</v>
      </c>
    </row>
    <row r="31" spans="1:16" ht="60.75">
      <c r="A31" s="1" t="s">
        <v>16</v>
      </c>
      <c r="B31" t="s">
        <v>29</v>
      </c>
      <c r="C31" t="s">
        <v>41</v>
      </c>
      <c r="D31" t="s">
        <v>127</v>
      </c>
      <c r="E31" s="4" t="s">
        <v>128</v>
      </c>
      <c r="F31" s="2">
        <v>2903.68</v>
      </c>
      <c r="G31" s="2">
        <v>3243.63</v>
      </c>
      <c r="H31" s="2">
        <f>FinanceTable[[#This Row],[Actual]]-FinanceTable[[#This Row],[Budget]]</f>
        <v>339.95000000000027</v>
      </c>
      <c r="I31" s="3">
        <f>IF(FinanceTable[[#This Row],[Budget]]=0,0,FinanceTable[[#This Row],[Variance]]/FinanceTable[[#This Row],[Budget]])</f>
        <v>0.11707557306590267</v>
      </c>
      <c r="J31" s="4" t="s">
        <v>126</v>
      </c>
      <c r="K31" t="s">
        <v>45</v>
      </c>
      <c r="L31" t="s">
        <v>46</v>
      </c>
      <c r="M3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3243.63</v>
      </c>
      <c r="N3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32" spans="1:16" ht="60.75">
      <c r="A32" s="1" t="s">
        <v>110</v>
      </c>
      <c r="B32" t="s">
        <v>34</v>
      </c>
      <c r="C32" t="s">
        <v>30</v>
      </c>
      <c r="D32" t="s">
        <v>129</v>
      </c>
      <c r="E32" s="4" t="s">
        <v>130</v>
      </c>
      <c r="F32" s="2">
        <v>168587.85</v>
      </c>
      <c r="G32" s="2">
        <v>193739.26</v>
      </c>
      <c r="H32" s="2">
        <f>FinanceTable[[#This Row],[Actual]]-FinanceTable[[#This Row],[Budget]]</f>
        <v>25151.410000000003</v>
      </c>
      <c r="I32" s="3">
        <f>IF(FinanceTable[[#This Row],[Budget]]=0,0,FinanceTable[[#This Row],[Variance]]/FinanceTable[[#This Row],[Budget]])</f>
        <v>0.14918874640135693</v>
      </c>
      <c r="J32" s="4" t="s">
        <v>131</v>
      </c>
      <c r="K32" t="s">
        <v>45</v>
      </c>
      <c r="L32" t="s">
        <v>46</v>
      </c>
      <c r="M3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193739.26</v>
      </c>
      <c r="N3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33" spans="1:16" ht="60.75">
      <c r="A33" s="1" t="s">
        <v>54</v>
      </c>
      <c r="B33" t="s">
        <v>103</v>
      </c>
      <c r="C33" t="s">
        <v>35</v>
      </c>
      <c r="D33" t="s">
        <v>87</v>
      </c>
      <c r="E33" s="4" t="s">
        <v>132</v>
      </c>
      <c r="F33" s="2">
        <v>345.72</v>
      </c>
      <c r="G33" s="2">
        <v>391.79</v>
      </c>
      <c r="H33" s="2">
        <f>FinanceTable[[#This Row],[Actual]]-FinanceTable[[#This Row],[Budget]]</f>
        <v>46.069999999999993</v>
      </c>
      <c r="I33" s="3">
        <f>IF(FinanceTable[[#This Row],[Budget]]=0,0,FinanceTable[[#This Row],[Variance]]/FinanceTable[[#This Row],[Budget]])</f>
        <v>0.133258127964827</v>
      </c>
      <c r="J33" s="4" t="s">
        <v>133</v>
      </c>
      <c r="K33" t="s">
        <v>45</v>
      </c>
      <c r="L33" t="s">
        <v>46</v>
      </c>
      <c r="M3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391.79</v>
      </c>
      <c r="N3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34" spans="1:16" ht="76.5">
      <c r="A34" s="1" t="s">
        <v>110</v>
      </c>
      <c r="B34" t="s">
        <v>59</v>
      </c>
      <c r="C34" t="s">
        <v>25</v>
      </c>
      <c r="D34" t="s">
        <v>134</v>
      </c>
      <c r="E34" s="4" t="s">
        <v>135</v>
      </c>
      <c r="F34" s="2">
        <v>10998.6</v>
      </c>
      <c r="G34" s="2">
        <v>10204.86</v>
      </c>
      <c r="H34" s="2">
        <f>FinanceTable[[#This Row],[Actual]]-FinanceTable[[#This Row],[Budget]]</f>
        <v>-793.73999999999978</v>
      </c>
      <c r="I34" s="3">
        <f>IF(FinanceTable[[#This Row],[Budget]]=0,0,FinanceTable[[#This Row],[Variance]]/FinanceTable[[#This Row],[Budget]])</f>
        <v>-7.2167366755768889E-2</v>
      </c>
      <c r="J34" s="4" t="s">
        <v>136</v>
      </c>
      <c r="K34" t="s">
        <v>45</v>
      </c>
      <c r="L34" t="s">
        <v>46</v>
      </c>
      <c r="M3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10204.86</v>
      </c>
      <c r="N34" s="2">
        <f>IF(FinanceTable[[#This Row],[Account]]="Advertising",IFERROR(FinanceTable[[#This Row],[Actual]]/(MAX(1,SUMIFS(FinanceTable[Actual],FinanceTable[Month],FinanceTable[[#This Row],[Month]],FinanceTable[Account],"Revenue")/1000)),""),"")</f>
        <v>14.921810540970061</v>
      </c>
      <c r="O34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31.778440860531159</v>
      </c>
      <c r="P3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35" spans="1:16" ht="60.75">
      <c r="A35" s="1" t="s">
        <v>40</v>
      </c>
      <c r="B35" t="s">
        <v>103</v>
      </c>
      <c r="C35" t="s">
        <v>62</v>
      </c>
      <c r="D35" t="s">
        <v>63</v>
      </c>
      <c r="E35" s="4" t="s">
        <v>137</v>
      </c>
      <c r="F35" s="2">
        <v>11394.16</v>
      </c>
      <c r="G35" s="2">
        <v>13735.05</v>
      </c>
      <c r="H35" s="2">
        <f>FinanceTable[[#This Row],[Actual]]-FinanceTable[[#This Row],[Budget]]</f>
        <v>2340.8899999999994</v>
      </c>
      <c r="I35" s="3">
        <f>IF(FinanceTable[[#This Row],[Budget]]=0,0,FinanceTable[[#This Row],[Variance]]/FinanceTable[[#This Row],[Budget]])</f>
        <v>0.20544647433422028</v>
      </c>
      <c r="J35" s="4" t="s">
        <v>65</v>
      </c>
      <c r="K35" t="s">
        <v>45</v>
      </c>
      <c r="L35" t="s">
        <v>46</v>
      </c>
      <c r="M3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13735.05</v>
      </c>
      <c r="N3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36" spans="1:16" ht="60.75">
      <c r="A36" s="1" t="s">
        <v>71</v>
      </c>
      <c r="B36" t="s">
        <v>59</v>
      </c>
      <c r="C36" t="s">
        <v>30</v>
      </c>
      <c r="D36" t="s">
        <v>19</v>
      </c>
      <c r="E36" s="4" t="s">
        <v>138</v>
      </c>
      <c r="F36" s="2">
        <v>78350.2</v>
      </c>
      <c r="G36" s="2">
        <v>371664.75</v>
      </c>
      <c r="H36" s="2">
        <f>FinanceTable[[#This Row],[Actual]]-FinanceTable[[#This Row],[Budget]]</f>
        <v>293314.55</v>
      </c>
      <c r="I36" s="3">
        <f>IF(FinanceTable[[#This Row],[Budget]]=0,0,FinanceTable[[#This Row],[Variance]]/FinanceTable[[#This Row],[Budget]])</f>
        <v>3.7436349875303447</v>
      </c>
      <c r="J36" s="4" t="s">
        <v>74</v>
      </c>
      <c r="K36" t="s">
        <v>38</v>
      </c>
      <c r="L36" t="s">
        <v>39</v>
      </c>
      <c r="M3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157957.51874999999</v>
      </c>
      <c r="N3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12</v>
      </c>
    </row>
    <row r="37" spans="1:16" ht="60.75">
      <c r="A37" s="1" t="s">
        <v>71</v>
      </c>
      <c r="B37" t="s">
        <v>59</v>
      </c>
      <c r="C37" t="s">
        <v>83</v>
      </c>
      <c r="D37" t="s">
        <v>139</v>
      </c>
      <c r="E37" s="4" t="s">
        <v>140</v>
      </c>
      <c r="F37" s="2">
        <v>12134.3</v>
      </c>
      <c r="G37" s="2">
        <v>9910.8700000000008</v>
      </c>
      <c r="H37" s="2">
        <f>FinanceTable[[#This Row],[Actual]]-FinanceTable[[#This Row],[Budget]]</f>
        <v>-2223.4299999999985</v>
      </c>
      <c r="I37" s="3">
        <f>IF(FinanceTable[[#This Row],[Budget]]=0,0,FinanceTable[[#This Row],[Variance]]/FinanceTable[[#This Row],[Budget]])</f>
        <v>-0.18323512687176011</v>
      </c>
      <c r="J37" s="4" t="s">
        <v>141</v>
      </c>
      <c r="K37" t="s">
        <v>45</v>
      </c>
      <c r="L37" t="s">
        <v>46</v>
      </c>
      <c r="M3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9910.8700000000008</v>
      </c>
      <c r="N3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38" spans="1:16" ht="76.5">
      <c r="A38" s="1" t="s">
        <v>16</v>
      </c>
      <c r="B38" t="s">
        <v>29</v>
      </c>
      <c r="C38" t="s">
        <v>25</v>
      </c>
      <c r="D38" t="s">
        <v>107</v>
      </c>
      <c r="E38" s="4" t="s">
        <v>142</v>
      </c>
      <c r="F38" s="2">
        <v>5813.83</v>
      </c>
      <c r="G38" s="2">
        <v>6458.19</v>
      </c>
      <c r="H38" s="2">
        <f>FinanceTable[[#This Row],[Actual]]-FinanceTable[[#This Row],[Budget]]</f>
        <v>644.35999999999967</v>
      </c>
      <c r="I38" s="3">
        <f>IF(FinanceTable[[#This Row],[Budget]]=0,0,FinanceTable[[#This Row],[Variance]]/FinanceTable[[#This Row],[Budget]])</f>
        <v>0.11083227407750135</v>
      </c>
      <c r="J38" s="4" t="s">
        <v>143</v>
      </c>
      <c r="K38" t="s">
        <v>45</v>
      </c>
      <c r="L38" t="s">
        <v>46</v>
      </c>
      <c r="M3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6458.19</v>
      </c>
      <c r="N38" s="2">
        <f>IF(FinanceTable[[#This Row],[Account]]="Advertising",IFERROR(FinanceTable[[#This Row],[Actual]]/(MAX(1,SUMIFS(FinanceTable[Actual],FinanceTable[Month],FinanceTable[[#This Row],[Month]],FinanceTable[Account],"Revenue")/1000)),""),"")</f>
        <v>78.994453915834853</v>
      </c>
      <c r="O38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3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39" spans="1:16" ht="60.75">
      <c r="A39" s="1" t="s">
        <v>71</v>
      </c>
      <c r="B39" t="s">
        <v>34</v>
      </c>
      <c r="C39" t="s">
        <v>41</v>
      </c>
      <c r="E39" s="4" t="s">
        <v>144</v>
      </c>
      <c r="F39" s="2">
        <v>1048.3</v>
      </c>
      <c r="G39" s="2">
        <v>1269</v>
      </c>
      <c r="H39" s="2">
        <f>FinanceTable[[#This Row],[Actual]]-FinanceTable[[#This Row],[Budget]]</f>
        <v>220.70000000000005</v>
      </c>
      <c r="I39" s="3">
        <f>IF(FinanceTable[[#This Row],[Budget]]=0,0,FinanceTable[[#This Row],[Variance]]/FinanceTable[[#This Row],[Budget]])</f>
        <v>0.21053133644948971</v>
      </c>
      <c r="J39" s="4" t="s">
        <v>98</v>
      </c>
      <c r="K39" t="s">
        <v>38</v>
      </c>
      <c r="L39" t="s">
        <v>22</v>
      </c>
      <c r="M3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755.05499999999995</v>
      </c>
      <c r="N3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3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3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22</v>
      </c>
    </row>
    <row r="40" spans="1:16" ht="60.75">
      <c r="A40" s="1" t="s">
        <v>93</v>
      </c>
      <c r="B40" t="s">
        <v>29</v>
      </c>
      <c r="C40" t="s">
        <v>62</v>
      </c>
      <c r="D40" t="s">
        <v>145</v>
      </c>
      <c r="E40" s="4" t="s">
        <v>146</v>
      </c>
      <c r="F40" s="2">
        <v>4045.65</v>
      </c>
      <c r="G40" s="2">
        <v>4013.5</v>
      </c>
      <c r="H40" s="2">
        <f>FinanceTable[[#This Row],[Actual]]-FinanceTable[[#This Row],[Budget]]</f>
        <v>-32.150000000000091</v>
      </c>
      <c r="I40" s="3">
        <f>IF(FinanceTable[[#This Row],[Budget]]=0,0,FinanceTable[[#This Row],[Variance]]/FinanceTable[[#This Row],[Budget]])</f>
        <v>-7.9468070643778106E-3</v>
      </c>
      <c r="J40" s="4" t="s">
        <v>147</v>
      </c>
      <c r="K40" t="s">
        <v>45</v>
      </c>
      <c r="L40" t="s">
        <v>46</v>
      </c>
      <c r="M4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4013.5</v>
      </c>
      <c r="N4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41" spans="1:16" ht="60.75">
      <c r="A41" s="1" t="s">
        <v>110</v>
      </c>
      <c r="B41" t="s">
        <v>24</v>
      </c>
      <c r="C41" t="s">
        <v>30</v>
      </c>
      <c r="E41" s="4" t="s">
        <v>148</v>
      </c>
      <c r="F41" s="2">
        <v>151311.76999999999</v>
      </c>
      <c r="G41" s="2">
        <v>165855.06</v>
      </c>
      <c r="H41" s="2">
        <f>FinanceTable[[#This Row],[Actual]]-FinanceTable[[#This Row],[Budget]]</f>
        <v>14543.290000000008</v>
      </c>
      <c r="I41" s="3">
        <f>IF(FinanceTable[[#This Row],[Budget]]=0,0,FinanceTable[[#This Row],[Variance]]/FinanceTable[[#This Row],[Budget]])</f>
        <v>9.6114730532859474E-2</v>
      </c>
      <c r="J41" s="4" t="s">
        <v>131</v>
      </c>
      <c r="K41" t="s">
        <v>38</v>
      </c>
      <c r="L41" t="s">
        <v>22</v>
      </c>
      <c r="M4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98683.760699999984</v>
      </c>
      <c r="N4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24</v>
      </c>
    </row>
    <row r="42" spans="1:16" ht="60.75">
      <c r="A42" s="1" t="s">
        <v>28</v>
      </c>
      <c r="B42" t="s">
        <v>59</v>
      </c>
      <c r="C42" t="s">
        <v>41</v>
      </c>
      <c r="D42" t="s">
        <v>42</v>
      </c>
      <c r="E42" s="4" t="s">
        <v>149</v>
      </c>
      <c r="F42" s="2">
        <v>511.53</v>
      </c>
      <c r="G42" s="2">
        <v>514.11</v>
      </c>
      <c r="H42" s="2">
        <f>FinanceTable[[#This Row],[Actual]]-FinanceTable[[#This Row],[Budget]]</f>
        <v>2.5800000000000409</v>
      </c>
      <c r="I42" s="3">
        <f>IF(FinanceTable[[#This Row],[Budget]]=0,0,FinanceTable[[#This Row],[Variance]]/FinanceTable[[#This Row],[Budget]])</f>
        <v>5.0436924520556783E-3</v>
      </c>
      <c r="J42" s="4" t="s">
        <v>150</v>
      </c>
      <c r="K42" t="s">
        <v>45</v>
      </c>
      <c r="L42" t="s">
        <v>46</v>
      </c>
      <c r="M4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514.11</v>
      </c>
      <c r="N4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43" spans="1:16" ht="60.75">
      <c r="A43" s="1" t="s">
        <v>40</v>
      </c>
      <c r="B43" t="s">
        <v>59</v>
      </c>
      <c r="C43" t="s">
        <v>35</v>
      </c>
      <c r="D43" t="s">
        <v>75</v>
      </c>
      <c r="E43" s="4" t="s">
        <v>151</v>
      </c>
      <c r="F43" s="2">
        <v>2680.27</v>
      </c>
      <c r="G43" s="2">
        <v>2809.49</v>
      </c>
      <c r="H43" s="2">
        <f>FinanceTable[[#This Row],[Actual]]-FinanceTable[[#This Row],[Budget]]</f>
        <v>129.2199999999998</v>
      </c>
      <c r="I43" s="3">
        <f>IF(FinanceTable[[#This Row],[Budget]]=0,0,FinanceTable[[#This Row],[Variance]]/FinanceTable[[#This Row],[Budget]])</f>
        <v>4.821156077559343E-2</v>
      </c>
      <c r="J43" s="4" t="s">
        <v>152</v>
      </c>
      <c r="K43" t="s">
        <v>45</v>
      </c>
      <c r="L43" t="s">
        <v>46</v>
      </c>
      <c r="M4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2809.49</v>
      </c>
      <c r="N4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44" spans="1:16" ht="76.5">
      <c r="A44" s="1" t="s">
        <v>51</v>
      </c>
      <c r="B44" t="s">
        <v>29</v>
      </c>
      <c r="C44" t="s">
        <v>25</v>
      </c>
      <c r="D44" t="s">
        <v>153</v>
      </c>
      <c r="E44" s="4" t="s">
        <v>108</v>
      </c>
      <c r="F44" s="2">
        <v>0</v>
      </c>
      <c r="G44" s="2">
        <v>5068.0200000000004</v>
      </c>
      <c r="H44" s="2">
        <f>FinanceTable[[#This Row],[Actual]]-FinanceTable[[#This Row],[Budget]]</f>
        <v>5068.0200000000004</v>
      </c>
      <c r="I44" s="3">
        <f>IF(FinanceTable[[#This Row],[Budget]]=0,0,FinanceTable[[#This Row],[Variance]]/FinanceTable[[#This Row],[Budget]])</f>
        <v>0</v>
      </c>
      <c r="J44" s="4" t="s">
        <v>154</v>
      </c>
      <c r="K44" t="s">
        <v>45</v>
      </c>
      <c r="L44" t="s">
        <v>46</v>
      </c>
      <c r="M4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5068.0200000000004</v>
      </c>
      <c r="N44" s="2">
        <f>IF(FinanceTable[[#This Row],[Account]]="Advertising",IFERROR(FinanceTable[[#This Row],[Actual]]/(MAX(1,SUMIFS(FinanceTable[Actual],FinanceTable[Month],FinanceTable[[#This Row],[Month]],FinanceTable[Account],"Revenue")/1000)),""),"")</f>
        <v>5068.0200000000004</v>
      </c>
      <c r="O44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4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45" spans="1:16" ht="76.5">
      <c r="A45" s="1" t="s">
        <v>47</v>
      </c>
      <c r="B45" t="s">
        <v>59</v>
      </c>
      <c r="C45" t="s">
        <v>25</v>
      </c>
      <c r="D45" t="s">
        <v>26</v>
      </c>
      <c r="E45" s="4" t="s">
        <v>155</v>
      </c>
      <c r="F45" s="2">
        <v>33707.69</v>
      </c>
      <c r="G45" s="2">
        <v>170592.53</v>
      </c>
      <c r="H45" s="2">
        <f>FinanceTable[[#This Row],[Actual]]-FinanceTable[[#This Row],[Budget]]</f>
        <v>136884.84</v>
      </c>
      <c r="I45" s="3">
        <f>IF(FinanceTable[[#This Row],[Budget]]=0,0,FinanceTable[[#This Row],[Variance]]/FinanceTable[[#This Row],[Budget]])</f>
        <v>4.0609380233412606</v>
      </c>
      <c r="J45" s="4" t="s">
        <v>156</v>
      </c>
      <c r="K45" t="s">
        <v>38</v>
      </c>
      <c r="L45" t="s">
        <v>39</v>
      </c>
      <c r="M4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72501.825249999994</v>
      </c>
      <c r="N45" s="2">
        <f>IF(FinanceTable[[#This Row],[Account]]="Advertising",IFERROR(FinanceTable[[#This Row],[Actual]]/(MAX(1,SUMIFS(FinanceTable[Actual],FinanceTable[Month],FinanceTable[[#This Row],[Month]],FinanceTable[Account],"Revenue")/1000)),""),"")</f>
        <v>837.04555905806387</v>
      </c>
      <c r="O45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4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21</v>
      </c>
    </row>
    <row r="46" spans="1:16" ht="60.75">
      <c r="A46" s="1" t="s">
        <v>93</v>
      </c>
      <c r="B46" t="s">
        <v>59</v>
      </c>
      <c r="C46" t="s">
        <v>67</v>
      </c>
      <c r="D46" t="s">
        <v>104</v>
      </c>
      <c r="E46" s="4" t="s">
        <v>157</v>
      </c>
      <c r="F46" s="2">
        <v>53636.63</v>
      </c>
      <c r="G46" s="2">
        <v>55123.85</v>
      </c>
      <c r="H46" s="2">
        <f>FinanceTable[[#This Row],[Actual]]-FinanceTable[[#This Row],[Budget]]</f>
        <v>1487.2200000000012</v>
      </c>
      <c r="I46" s="3">
        <f>IF(FinanceTable[[#This Row],[Budget]]=0,0,FinanceTable[[#This Row],[Variance]]/FinanceTable[[#This Row],[Budget]])</f>
        <v>2.7727692809932338E-2</v>
      </c>
      <c r="J46" s="4" t="s">
        <v>96</v>
      </c>
      <c r="K46" t="s">
        <v>45</v>
      </c>
      <c r="L46" t="s">
        <v>46</v>
      </c>
      <c r="M4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55123.85</v>
      </c>
      <c r="N4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47" spans="1:16" ht="60.75">
      <c r="A47" s="1" t="s">
        <v>78</v>
      </c>
      <c r="B47" t="s">
        <v>29</v>
      </c>
      <c r="C47" t="s">
        <v>79</v>
      </c>
      <c r="D47" t="s">
        <v>158</v>
      </c>
      <c r="E47" s="4" t="s">
        <v>159</v>
      </c>
      <c r="F47" s="2">
        <v>8317.86</v>
      </c>
      <c r="G47" s="2">
        <v>10168.200000000001</v>
      </c>
      <c r="H47" s="2">
        <f>FinanceTable[[#This Row],[Actual]]-FinanceTable[[#This Row],[Budget]]</f>
        <v>1850.3400000000001</v>
      </c>
      <c r="I47" s="3">
        <f>IF(FinanceTable[[#This Row],[Budget]]=0,0,FinanceTable[[#This Row],[Variance]]/FinanceTable[[#This Row],[Budget]])</f>
        <v>0.22245385231297474</v>
      </c>
      <c r="J47" s="4" t="s">
        <v>82</v>
      </c>
      <c r="K47" t="s">
        <v>45</v>
      </c>
      <c r="L47" t="s">
        <v>46</v>
      </c>
      <c r="M4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10168.200000000001</v>
      </c>
      <c r="N4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48" spans="1:16" ht="60.75">
      <c r="A48" s="1" t="s">
        <v>93</v>
      </c>
      <c r="B48" t="s">
        <v>34</v>
      </c>
      <c r="C48" t="s">
        <v>79</v>
      </c>
      <c r="D48" t="s">
        <v>160</v>
      </c>
      <c r="E48" s="4" t="s">
        <v>161</v>
      </c>
      <c r="F48" s="2">
        <v>13129.45</v>
      </c>
      <c r="G48" s="2">
        <v>13495.77</v>
      </c>
      <c r="H48" s="2">
        <f>FinanceTable[[#This Row],[Actual]]-FinanceTable[[#This Row],[Budget]]</f>
        <v>366.31999999999971</v>
      </c>
      <c r="I48" s="3">
        <f>IF(FinanceTable[[#This Row],[Budget]]=0,0,FinanceTable[[#This Row],[Variance]]/FinanceTable[[#This Row],[Budget]])</f>
        <v>2.7900635594027143E-2</v>
      </c>
      <c r="J48" s="4" t="s">
        <v>162</v>
      </c>
      <c r="K48" t="s">
        <v>45</v>
      </c>
      <c r="L48" t="s">
        <v>46</v>
      </c>
      <c r="M4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13495.77</v>
      </c>
      <c r="N4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49" spans="1:16" ht="60.75">
      <c r="A49" s="1" t="s">
        <v>16</v>
      </c>
      <c r="B49" t="s">
        <v>34</v>
      </c>
      <c r="C49" t="s">
        <v>35</v>
      </c>
      <c r="D49" t="s">
        <v>163</v>
      </c>
      <c r="E49" s="4" t="s">
        <v>164</v>
      </c>
      <c r="F49" s="2">
        <v>4383.1099999999997</v>
      </c>
      <c r="G49" s="2">
        <v>4795.26</v>
      </c>
      <c r="H49" s="2">
        <f>FinanceTable[[#This Row],[Actual]]-FinanceTable[[#This Row],[Budget]]</f>
        <v>412.15000000000055</v>
      </c>
      <c r="I49" s="3">
        <f>IF(FinanceTable[[#This Row],[Budget]]=0,0,FinanceTable[[#This Row],[Variance]]/FinanceTable[[#This Row],[Budget]])</f>
        <v>9.4031406923394706E-2</v>
      </c>
      <c r="J49" s="4" t="s">
        <v>165</v>
      </c>
      <c r="K49" t="s">
        <v>45</v>
      </c>
      <c r="L49" t="s">
        <v>46</v>
      </c>
      <c r="M4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4795.26</v>
      </c>
      <c r="N4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4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4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50" spans="1:16" ht="76.5">
      <c r="A50" s="1" t="s">
        <v>16</v>
      </c>
      <c r="B50" t="s">
        <v>29</v>
      </c>
      <c r="C50" t="s">
        <v>99</v>
      </c>
      <c r="D50" t="s">
        <v>166</v>
      </c>
      <c r="E50" s="4" t="s">
        <v>167</v>
      </c>
      <c r="F50" s="2">
        <v>53607.62</v>
      </c>
      <c r="G50" s="2">
        <v>42515.82</v>
      </c>
      <c r="H50" s="2">
        <f>FinanceTable[[#This Row],[Actual]]-FinanceTable[[#This Row],[Budget]]</f>
        <v>-11091.800000000003</v>
      </c>
      <c r="I50" s="3">
        <f>IF(FinanceTable[[#This Row],[Budget]]=0,0,FinanceTable[[#This Row],[Variance]]/FinanceTable[[#This Row],[Budget]])</f>
        <v>-0.20690715237871038</v>
      </c>
      <c r="J50" s="4" t="s">
        <v>102</v>
      </c>
      <c r="K50" t="s">
        <v>45</v>
      </c>
      <c r="L50" t="s">
        <v>46</v>
      </c>
      <c r="M5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42515.82</v>
      </c>
      <c r="N5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51" spans="1:16" ht="60.75">
      <c r="A51" s="1" t="s">
        <v>33</v>
      </c>
      <c r="B51" t="s">
        <v>17</v>
      </c>
      <c r="C51" t="s">
        <v>67</v>
      </c>
      <c r="D51" t="s">
        <v>94</v>
      </c>
      <c r="E51" s="4" t="s">
        <v>168</v>
      </c>
      <c r="F51" s="2">
        <v>135636.76999999999</v>
      </c>
      <c r="G51" s="2">
        <v>138314.72</v>
      </c>
      <c r="H51" s="2">
        <f>FinanceTable[[#This Row],[Actual]]-FinanceTable[[#This Row],[Budget]]</f>
        <v>2677.9500000000116</v>
      </c>
      <c r="I51" s="3">
        <f>IF(FinanceTable[[#This Row],[Budget]]=0,0,FinanceTable[[#This Row],[Variance]]/FinanceTable[[#This Row],[Budget]])</f>
        <v>1.9743540044488025E-2</v>
      </c>
      <c r="J51" s="4" t="s">
        <v>169</v>
      </c>
      <c r="K51" t="s">
        <v>45</v>
      </c>
      <c r="L51" t="s">
        <v>46</v>
      </c>
      <c r="M5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138314.72</v>
      </c>
      <c r="N5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52" spans="1:16" ht="30.75">
      <c r="A52" s="1" t="s">
        <v>54</v>
      </c>
      <c r="B52" t="s">
        <v>103</v>
      </c>
      <c r="C52" t="s">
        <v>25</v>
      </c>
      <c r="D52" t="s">
        <v>170</v>
      </c>
      <c r="E52" s="4" t="s">
        <v>171</v>
      </c>
      <c r="F52" s="2">
        <v>6496.13</v>
      </c>
      <c r="G52" s="2">
        <v>6492.21</v>
      </c>
      <c r="H52" s="2">
        <f>FinanceTable[[#This Row],[Actual]]-FinanceTable[[#This Row],[Budget]]</f>
        <v>-3.9200000000000728</v>
      </c>
      <c r="I52" s="3">
        <f>IF(FinanceTable[[#This Row],[Budget]]=0,0,FinanceTable[[#This Row],[Variance]]/FinanceTable[[#This Row],[Budget]])</f>
        <v>-6.0343619970660569E-4</v>
      </c>
      <c r="J52" s="4"/>
      <c r="K52" t="s">
        <v>21</v>
      </c>
      <c r="L52" t="s">
        <v>22</v>
      </c>
      <c r="M5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3408.4102499999999</v>
      </c>
      <c r="N52" s="2">
        <f>IF(FinanceTable[[#This Row],[Account]]="Advertising",IFERROR(FinanceTable[[#This Row],[Actual]]/(MAX(1,SUMIFS(FinanceTable[Actual],FinanceTable[Month],FinanceTable[[#This Row],[Month]],FinanceTable[Account],"Revenue")/1000)),""),"")</f>
        <v>30.942118424696769</v>
      </c>
      <c r="O52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5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46</v>
      </c>
    </row>
    <row r="53" spans="1:16" ht="60.75">
      <c r="A53" s="1" t="s">
        <v>54</v>
      </c>
      <c r="B53" t="s">
        <v>59</v>
      </c>
      <c r="C53" t="s">
        <v>35</v>
      </c>
      <c r="D53" t="s">
        <v>36</v>
      </c>
      <c r="E53" s="4" t="s">
        <v>151</v>
      </c>
      <c r="F53" s="2">
        <v>6164.41</v>
      </c>
      <c r="G53" s="2">
        <v>5632.87</v>
      </c>
      <c r="H53" s="2">
        <f>FinanceTable[[#This Row],[Actual]]-FinanceTable[[#This Row],[Budget]]</f>
        <v>-531.54</v>
      </c>
      <c r="I53" s="3">
        <f>IF(FinanceTable[[#This Row],[Budget]]=0,0,FinanceTable[[#This Row],[Variance]]/FinanceTable[[#This Row],[Budget]])</f>
        <v>-8.6227230180990558E-2</v>
      </c>
      <c r="J53" s="4" t="s">
        <v>133</v>
      </c>
      <c r="K53" t="s">
        <v>21</v>
      </c>
      <c r="L53" t="s">
        <v>46</v>
      </c>
      <c r="M5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4224.6525000000001</v>
      </c>
      <c r="N5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37</v>
      </c>
    </row>
    <row r="54" spans="1:16" ht="76.5">
      <c r="A54" s="1" t="s">
        <v>28</v>
      </c>
      <c r="B54" t="s">
        <v>17</v>
      </c>
      <c r="C54" t="s">
        <v>25</v>
      </c>
      <c r="D54" t="s">
        <v>170</v>
      </c>
      <c r="E54" s="4" t="s">
        <v>172</v>
      </c>
      <c r="F54" s="2">
        <v>24728.9</v>
      </c>
      <c r="G54" s="2">
        <v>23658.82</v>
      </c>
      <c r="H54" s="2">
        <f>FinanceTable[[#This Row],[Actual]]-FinanceTable[[#This Row],[Budget]]</f>
        <v>-1070.0800000000017</v>
      </c>
      <c r="I54" s="3">
        <f>IF(FinanceTable[[#This Row],[Budget]]=0,0,FinanceTable[[#This Row],[Variance]]/FinanceTable[[#This Row],[Budget]])</f>
        <v>-4.3272446408857718E-2</v>
      </c>
      <c r="J54" s="4" t="s">
        <v>173</v>
      </c>
      <c r="K54" t="s">
        <v>45</v>
      </c>
      <c r="L54" t="s">
        <v>46</v>
      </c>
      <c r="M5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23658.82</v>
      </c>
      <c r="N54" s="2">
        <f>IF(FinanceTable[[#This Row],[Account]]="Advertising",IFERROR(FinanceTable[[#This Row],[Actual]]/(MAX(1,SUMIFS(FinanceTable[Actual],FinanceTable[Month],FinanceTable[[#This Row],[Month]],FinanceTable[Account],"Revenue")/1000)),""),"")</f>
        <v>54.373643564460657</v>
      </c>
      <c r="O54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5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55" spans="1:16" ht="60.75">
      <c r="A55" s="1" t="s">
        <v>47</v>
      </c>
      <c r="B55" t="s">
        <v>103</v>
      </c>
      <c r="C55" t="s">
        <v>79</v>
      </c>
      <c r="D55" t="s">
        <v>160</v>
      </c>
      <c r="E55" s="4" t="s">
        <v>174</v>
      </c>
      <c r="F55" s="2">
        <v>5377.67</v>
      </c>
      <c r="G55" s="2">
        <v>5384.61</v>
      </c>
      <c r="H55" s="2">
        <f>FinanceTable[[#This Row],[Actual]]-FinanceTable[[#This Row],[Budget]]</f>
        <v>6.9399999999995998</v>
      </c>
      <c r="I55" s="3">
        <f>IF(FinanceTable[[#This Row],[Budget]]=0,0,FinanceTable[[#This Row],[Variance]]/FinanceTable[[#This Row],[Budget]])</f>
        <v>1.2905217315304955E-3</v>
      </c>
      <c r="J55" s="4" t="s">
        <v>175</v>
      </c>
      <c r="K55" t="s">
        <v>45</v>
      </c>
      <c r="L55" t="s">
        <v>46</v>
      </c>
      <c r="M5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5384.61</v>
      </c>
      <c r="N5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56" spans="1:16" ht="60.75">
      <c r="A56" s="1" t="s">
        <v>28</v>
      </c>
      <c r="B56" t="s">
        <v>59</v>
      </c>
      <c r="C56" t="s">
        <v>18</v>
      </c>
      <c r="D56" t="s">
        <v>19</v>
      </c>
      <c r="E56" s="4" t="s">
        <v>176</v>
      </c>
      <c r="F56" s="2">
        <v>6332.02</v>
      </c>
      <c r="G56" s="2">
        <v>9827.9599999999991</v>
      </c>
      <c r="H56" s="2">
        <f>FinanceTable[[#This Row],[Actual]]-FinanceTable[[#This Row],[Budget]]</f>
        <v>3495.9399999999987</v>
      </c>
      <c r="I56" s="3">
        <f>IF(FinanceTable[[#This Row],[Budget]]=0,0,FinanceTable[[#This Row],[Variance]]/FinanceTable[[#This Row],[Budget]])</f>
        <v>0.55210501546110069</v>
      </c>
      <c r="J56" s="4" t="s">
        <v>177</v>
      </c>
      <c r="K56" t="s">
        <v>38</v>
      </c>
      <c r="L56" t="s">
        <v>46</v>
      </c>
      <c r="M5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8353.7659999999996</v>
      </c>
      <c r="N5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13</v>
      </c>
    </row>
    <row r="57" spans="1:16" ht="60.75">
      <c r="A57" s="1" t="s">
        <v>51</v>
      </c>
      <c r="B57" t="s">
        <v>29</v>
      </c>
      <c r="C57" t="s">
        <v>41</v>
      </c>
      <c r="D57" t="s">
        <v>178</v>
      </c>
      <c r="E57" s="4" t="s">
        <v>128</v>
      </c>
      <c r="F57" s="2">
        <v>3825.03</v>
      </c>
      <c r="G57" s="2">
        <v>3926.49</v>
      </c>
      <c r="H57" s="2">
        <f>FinanceTable[[#This Row],[Actual]]-FinanceTable[[#This Row],[Budget]]</f>
        <v>101.45999999999958</v>
      </c>
      <c r="I57" s="3">
        <f>IF(FinanceTable[[#This Row],[Budget]]=0,0,FinanceTable[[#This Row],[Variance]]/FinanceTable[[#This Row],[Budget]])</f>
        <v>2.6525282154649658E-2</v>
      </c>
      <c r="J57" s="4" t="s">
        <v>119</v>
      </c>
      <c r="K57" t="s">
        <v>45</v>
      </c>
      <c r="L57" t="s">
        <v>46</v>
      </c>
      <c r="M5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3926.49</v>
      </c>
      <c r="N5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58" spans="1:16" ht="60.75">
      <c r="A58" s="1" t="s">
        <v>54</v>
      </c>
      <c r="B58" t="s">
        <v>17</v>
      </c>
      <c r="C58" t="s">
        <v>18</v>
      </c>
      <c r="D58" t="s">
        <v>19</v>
      </c>
      <c r="E58" s="4" t="s">
        <v>20</v>
      </c>
      <c r="F58" s="2">
        <v>9360.4</v>
      </c>
      <c r="G58" s="2">
        <v>7140.14</v>
      </c>
      <c r="H58" s="2">
        <f>FinanceTable[[#This Row],[Actual]]-FinanceTable[[#This Row],[Budget]]</f>
        <v>-2220.2599999999993</v>
      </c>
      <c r="I58" s="3">
        <f>IF(FinanceTable[[#This Row],[Budget]]=0,0,FinanceTable[[#This Row],[Variance]]/FinanceTable[[#This Row],[Budget]])</f>
        <v>-0.23719712832784917</v>
      </c>
      <c r="J58" s="4" t="s">
        <v>179</v>
      </c>
      <c r="K58" t="s">
        <v>45</v>
      </c>
      <c r="L58" t="s">
        <v>46</v>
      </c>
      <c r="M5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7140.14</v>
      </c>
      <c r="N5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59" spans="1:16" ht="60.75">
      <c r="A59" s="1" t="s">
        <v>93</v>
      </c>
      <c r="B59" t="s">
        <v>29</v>
      </c>
      <c r="C59" t="s">
        <v>18</v>
      </c>
      <c r="D59" t="s">
        <v>72</v>
      </c>
      <c r="E59" s="4" t="s">
        <v>180</v>
      </c>
      <c r="F59" s="2">
        <v>855.69</v>
      </c>
      <c r="G59" s="2">
        <v>920.1</v>
      </c>
      <c r="H59" s="2">
        <f>FinanceTable[[#This Row],[Actual]]-FinanceTable[[#This Row],[Budget]]</f>
        <v>64.409999999999968</v>
      </c>
      <c r="I59" s="3">
        <f>IF(FinanceTable[[#This Row],[Budget]]=0,0,FinanceTable[[#This Row],[Variance]]/FinanceTable[[#This Row],[Budget]])</f>
        <v>7.5272587035024319E-2</v>
      </c>
      <c r="J59" s="4" t="s">
        <v>181</v>
      </c>
      <c r="K59" t="s">
        <v>45</v>
      </c>
      <c r="L59" t="s">
        <v>46</v>
      </c>
      <c r="M5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920.1</v>
      </c>
      <c r="N5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5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5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60" spans="1:16" ht="60.75">
      <c r="A60" s="1" t="s">
        <v>78</v>
      </c>
      <c r="B60" t="s">
        <v>24</v>
      </c>
      <c r="C60" t="s">
        <v>41</v>
      </c>
      <c r="D60" t="s">
        <v>127</v>
      </c>
      <c r="E60" s="4" t="s">
        <v>182</v>
      </c>
      <c r="F60" s="2">
        <v>1666.89</v>
      </c>
      <c r="G60" s="2">
        <v>1881.46</v>
      </c>
      <c r="H60" s="2">
        <f>FinanceTable[[#This Row],[Actual]]-FinanceTable[[#This Row],[Budget]]</f>
        <v>214.56999999999994</v>
      </c>
      <c r="I60" s="3">
        <f>IF(FinanceTable[[#This Row],[Budget]]=0,0,FinanceTable[[#This Row],[Variance]]/FinanceTable[[#This Row],[Budget]])</f>
        <v>0.12872475088338159</v>
      </c>
      <c r="J60" s="4" t="s">
        <v>183</v>
      </c>
      <c r="K60" t="s">
        <v>45</v>
      </c>
      <c r="L60" t="s">
        <v>46</v>
      </c>
      <c r="M6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1881.46</v>
      </c>
      <c r="N6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61" spans="1:16" ht="60.75">
      <c r="A61" s="1" t="s">
        <v>33</v>
      </c>
      <c r="B61" t="s">
        <v>24</v>
      </c>
      <c r="C61" t="s">
        <v>55</v>
      </c>
      <c r="D61" t="s">
        <v>184</v>
      </c>
      <c r="E61" s="4" t="s">
        <v>185</v>
      </c>
      <c r="F61" s="2">
        <v>54718.76</v>
      </c>
      <c r="G61" s="2">
        <v>59545.58</v>
      </c>
      <c r="H61" s="2">
        <f>FinanceTable[[#This Row],[Actual]]-FinanceTable[[#This Row],[Budget]]</f>
        <v>4826.82</v>
      </c>
      <c r="I61" s="3">
        <f>IF(FinanceTable[[#This Row],[Budget]]=0,0,FinanceTable[[#This Row],[Variance]]/FinanceTable[[#This Row],[Budget]])</f>
        <v>8.8211428767757158E-2</v>
      </c>
      <c r="J61" s="4" t="s">
        <v>186</v>
      </c>
      <c r="K61" t="s">
        <v>45</v>
      </c>
      <c r="L61" t="s">
        <v>46</v>
      </c>
      <c r="M6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59545.58</v>
      </c>
      <c r="N6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62" spans="1:16" ht="60.75">
      <c r="A62" s="1" t="s">
        <v>28</v>
      </c>
      <c r="B62" t="s">
        <v>29</v>
      </c>
      <c r="C62" t="s">
        <v>41</v>
      </c>
      <c r="D62" t="s">
        <v>178</v>
      </c>
      <c r="E62" s="4" t="s">
        <v>187</v>
      </c>
      <c r="F62" s="2">
        <v>3390.41</v>
      </c>
      <c r="G62" s="2">
        <v>3820.21</v>
      </c>
      <c r="H62" s="2">
        <f>FinanceTable[[#This Row],[Actual]]-FinanceTable[[#This Row],[Budget]]</f>
        <v>429.80000000000018</v>
      </c>
      <c r="I62" s="3">
        <f>IF(FinanceTable[[#This Row],[Budget]]=0,0,FinanceTable[[#This Row],[Variance]]/FinanceTable[[#This Row],[Budget]])</f>
        <v>0.12676932878324457</v>
      </c>
      <c r="J62" s="4" t="s">
        <v>150</v>
      </c>
      <c r="K62" t="s">
        <v>45</v>
      </c>
      <c r="L62" t="s">
        <v>46</v>
      </c>
      <c r="M6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3820.21</v>
      </c>
      <c r="N6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63" spans="1:16" ht="60.75">
      <c r="A63" s="1" t="s">
        <v>71</v>
      </c>
      <c r="B63" t="s">
        <v>59</v>
      </c>
      <c r="C63" t="s">
        <v>79</v>
      </c>
      <c r="D63" t="s">
        <v>80</v>
      </c>
      <c r="E63" s="4" t="s">
        <v>188</v>
      </c>
      <c r="F63" s="2">
        <v>8857.34</v>
      </c>
      <c r="G63" s="2">
        <v>8287.69</v>
      </c>
      <c r="H63" s="2">
        <f>FinanceTable[[#This Row],[Actual]]-FinanceTable[[#This Row],[Budget]]</f>
        <v>-569.64999999999964</v>
      </c>
      <c r="I63" s="3">
        <f>IF(FinanceTable[[#This Row],[Budget]]=0,0,FinanceTable[[#This Row],[Variance]]/FinanceTable[[#This Row],[Budget]])</f>
        <v>-6.431389107790822E-2</v>
      </c>
      <c r="J63" s="4" t="s">
        <v>189</v>
      </c>
      <c r="K63" t="s">
        <v>45</v>
      </c>
      <c r="L63" t="s">
        <v>46</v>
      </c>
      <c r="M6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8287.69</v>
      </c>
      <c r="N6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64" spans="1:16" ht="60.75">
      <c r="A64" s="1" t="s">
        <v>33</v>
      </c>
      <c r="B64" t="s">
        <v>29</v>
      </c>
      <c r="C64" t="s">
        <v>30</v>
      </c>
      <c r="D64" t="s">
        <v>129</v>
      </c>
      <c r="E64" s="4" t="s">
        <v>190</v>
      </c>
      <c r="F64" s="2">
        <v>126691.72</v>
      </c>
      <c r="G64" s="2">
        <v>125152.99</v>
      </c>
      <c r="H64" s="2">
        <f>FinanceTable[[#This Row],[Actual]]-FinanceTable[[#This Row],[Budget]]</f>
        <v>-1538.7299999999959</v>
      </c>
      <c r="I64" s="3">
        <f>IF(FinanceTable[[#This Row],[Budget]]=0,0,FinanceTable[[#This Row],[Variance]]/FinanceTable[[#This Row],[Budget]])</f>
        <v>-1.214546617569006E-2</v>
      </c>
      <c r="J64" s="4" t="s">
        <v>191</v>
      </c>
      <c r="K64" t="s">
        <v>45</v>
      </c>
      <c r="L64" t="s">
        <v>46</v>
      </c>
      <c r="M6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125152.99</v>
      </c>
      <c r="N6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65" spans="1:16" ht="60.75">
      <c r="A65" s="1" t="s">
        <v>110</v>
      </c>
      <c r="B65" t="s">
        <v>59</v>
      </c>
      <c r="C65" t="s">
        <v>30</v>
      </c>
      <c r="D65" t="s">
        <v>129</v>
      </c>
      <c r="E65" s="4" t="s">
        <v>138</v>
      </c>
      <c r="F65" s="2">
        <v>156827.12</v>
      </c>
      <c r="G65" s="2">
        <v>149764.6</v>
      </c>
      <c r="H65" s="2">
        <f>FinanceTable[[#This Row],[Actual]]-FinanceTable[[#This Row],[Budget]]</f>
        <v>-7062.5199999999895</v>
      </c>
      <c r="I65" s="3">
        <f>IF(FinanceTable[[#This Row],[Budget]]=0,0,FinanceTable[[#This Row],[Variance]]/FinanceTable[[#This Row],[Budget]])</f>
        <v>-4.5033792624642917E-2</v>
      </c>
      <c r="J65" s="4" t="s">
        <v>131</v>
      </c>
      <c r="K65" t="s">
        <v>45</v>
      </c>
      <c r="L65" t="s">
        <v>46</v>
      </c>
      <c r="M6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149764.6</v>
      </c>
      <c r="N6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66" spans="1:16" ht="60.75">
      <c r="A66" s="1" t="s">
        <v>47</v>
      </c>
      <c r="B66" t="s">
        <v>34</v>
      </c>
      <c r="C66" t="s">
        <v>41</v>
      </c>
      <c r="D66" t="s">
        <v>192</v>
      </c>
      <c r="E66" s="4" t="s">
        <v>193</v>
      </c>
      <c r="F66" s="2">
        <v>1823.22</v>
      </c>
      <c r="G66" s="2">
        <v>1584.15</v>
      </c>
      <c r="H66" s="2">
        <f>FinanceTable[[#This Row],[Actual]]-FinanceTable[[#This Row],[Budget]]</f>
        <v>-239.06999999999994</v>
      </c>
      <c r="I66" s="3">
        <f>IF(FinanceTable[[#This Row],[Budget]]=0,0,FinanceTable[[#This Row],[Variance]]/FinanceTable[[#This Row],[Budget]])</f>
        <v>-0.13112515220324478</v>
      </c>
      <c r="J66" s="4" t="s">
        <v>194</v>
      </c>
      <c r="K66" t="s">
        <v>45</v>
      </c>
      <c r="L66" t="s">
        <v>46</v>
      </c>
      <c r="M6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1584.15</v>
      </c>
      <c r="N6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67" spans="1:16" ht="76.5">
      <c r="A67" s="1" t="s">
        <v>33</v>
      </c>
      <c r="B67" t="s">
        <v>59</v>
      </c>
      <c r="C67" t="s">
        <v>25</v>
      </c>
      <c r="D67" t="s">
        <v>195</v>
      </c>
      <c r="E67" s="4" t="s">
        <v>135</v>
      </c>
      <c r="F67" s="2">
        <v>16544.93</v>
      </c>
      <c r="G67" s="2">
        <v>14270.3</v>
      </c>
      <c r="H67" s="2">
        <f>FinanceTable[[#This Row],[Actual]]-FinanceTable[[#This Row],[Budget]]</f>
        <v>-2274.630000000001</v>
      </c>
      <c r="I67" s="3">
        <f>IF(FinanceTable[[#This Row],[Budget]]=0,0,FinanceTable[[#This Row],[Variance]]/FinanceTable[[#This Row],[Budget]])</f>
        <v>-0.13748199599514782</v>
      </c>
      <c r="J67" s="4" t="s">
        <v>196</v>
      </c>
      <c r="K67" t="s">
        <v>45</v>
      </c>
      <c r="L67" t="s">
        <v>46</v>
      </c>
      <c r="M6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14270.3</v>
      </c>
      <c r="N67" s="2">
        <f>IF(FinanceTable[[#This Row],[Account]]="Advertising",IFERROR(FinanceTable[[#This Row],[Actual]]/(MAX(1,SUMIFS(FinanceTable[Actual],FinanceTable[Month],FinanceTable[[#This Row],[Month]],FinanceTable[Account],"Revenue")/1000)),""),"")</f>
        <v>114.02284515935256</v>
      </c>
      <c r="O67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6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68" spans="1:16" ht="60.75">
      <c r="A68" s="1" t="s">
        <v>110</v>
      </c>
      <c r="B68" t="s">
        <v>29</v>
      </c>
      <c r="C68" t="s">
        <v>55</v>
      </c>
      <c r="D68" t="s">
        <v>56</v>
      </c>
      <c r="E68" s="4" t="s">
        <v>197</v>
      </c>
      <c r="F68" s="2">
        <v>59741.16</v>
      </c>
      <c r="G68" s="2">
        <v>60251.56</v>
      </c>
      <c r="H68" s="2">
        <f>FinanceTable[[#This Row],[Actual]]-FinanceTable[[#This Row],[Budget]]</f>
        <v>510.39999999999418</v>
      </c>
      <c r="I68" s="3">
        <f>IF(FinanceTable[[#This Row],[Budget]]=0,0,FinanceTable[[#This Row],[Variance]]/FinanceTable[[#This Row],[Budget]])</f>
        <v>8.5435234267294807E-3</v>
      </c>
      <c r="J68" s="4" t="s">
        <v>113</v>
      </c>
      <c r="K68" t="s">
        <v>45</v>
      </c>
      <c r="L68" t="s">
        <v>46</v>
      </c>
      <c r="M6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60251.56</v>
      </c>
      <c r="N6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69" spans="1:16" ht="60.75">
      <c r="A69" s="1" t="s">
        <v>93</v>
      </c>
      <c r="B69" t="s">
        <v>59</v>
      </c>
      <c r="C69" t="s">
        <v>62</v>
      </c>
      <c r="D69" t="s">
        <v>198</v>
      </c>
      <c r="E69" s="4" t="s">
        <v>199</v>
      </c>
      <c r="F69" s="2">
        <v>1274.69</v>
      </c>
      <c r="G69" s="2">
        <v>1237.77</v>
      </c>
      <c r="H69" s="2">
        <f>FinanceTable[[#This Row],[Actual]]-FinanceTable[[#This Row],[Budget]]</f>
        <v>-36.920000000000073</v>
      </c>
      <c r="I69" s="3">
        <f>IF(FinanceTable[[#This Row],[Budget]]=0,0,FinanceTable[[#This Row],[Variance]]/FinanceTable[[#This Row],[Budget]])</f>
        <v>-2.8963904949438742E-2</v>
      </c>
      <c r="J69" s="4" t="s">
        <v>147</v>
      </c>
      <c r="K69" t="s">
        <v>45</v>
      </c>
      <c r="L69" t="s">
        <v>46</v>
      </c>
      <c r="M6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1237.77</v>
      </c>
      <c r="N6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6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6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70" spans="1:16" ht="60.75">
      <c r="A70" s="1" t="s">
        <v>23</v>
      </c>
      <c r="B70" t="s">
        <v>34</v>
      </c>
      <c r="C70" t="s">
        <v>55</v>
      </c>
      <c r="D70" t="s">
        <v>200</v>
      </c>
      <c r="E70" s="4" t="s">
        <v>201</v>
      </c>
      <c r="F70" s="2">
        <v>89339.22</v>
      </c>
      <c r="G70" s="2">
        <v>98818.95</v>
      </c>
      <c r="H70" s="2">
        <f>FinanceTable[[#This Row],[Actual]]-FinanceTable[[#This Row],[Budget]]</f>
        <v>9479.7299999999959</v>
      </c>
      <c r="I70" s="3">
        <f>IF(FinanceTable[[#This Row],[Budget]]=0,0,FinanceTable[[#This Row],[Variance]]/FinanceTable[[#This Row],[Budget]])</f>
        <v>0.10610938846343181</v>
      </c>
      <c r="J70" s="4" t="s">
        <v>202</v>
      </c>
      <c r="K70" t="s">
        <v>45</v>
      </c>
      <c r="L70" t="s">
        <v>46</v>
      </c>
      <c r="M7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98818.95</v>
      </c>
      <c r="N7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71" spans="1:16" ht="60.75">
      <c r="A71" s="1" t="s">
        <v>28</v>
      </c>
      <c r="B71" t="s">
        <v>29</v>
      </c>
      <c r="C71" t="s">
        <v>83</v>
      </c>
      <c r="D71" t="s">
        <v>203</v>
      </c>
      <c r="E71" s="4" t="s">
        <v>204</v>
      </c>
      <c r="F71" s="2">
        <v>7671.01</v>
      </c>
      <c r="G71" s="2">
        <v>55723.92</v>
      </c>
      <c r="H71" s="2">
        <f>FinanceTable[[#This Row],[Actual]]-FinanceTable[[#This Row],[Budget]]</f>
        <v>48052.909999999996</v>
      </c>
      <c r="I71" s="3">
        <f>IF(FinanceTable[[#This Row],[Budget]]=0,0,FinanceTable[[#This Row],[Variance]]/FinanceTable[[#This Row],[Budget]])</f>
        <v>6.2642220515942482</v>
      </c>
      <c r="J71" s="4" t="s">
        <v>205</v>
      </c>
      <c r="K71" t="s">
        <v>38</v>
      </c>
      <c r="L71" t="s">
        <v>39</v>
      </c>
      <c r="M7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23682.665999999997</v>
      </c>
      <c r="N7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15</v>
      </c>
    </row>
    <row r="72" spans="1:16" ht="60.75">
      <c r="A72" s="1" t="s">
        <v>54</v>
      </c>
      <c r="B72" t="s">
        <v>29</v>
      </c>
      <c r="C72" t="s">
        <v>18</v>
      </c>
      <c r="D72" t="s">
        <v>48</v>
      </c>
      <c r="E72" s="4" t="s">
        <v>115</v>
      </c>
      <c r="F72" s="2">
        <v>4343.9799999999996</v>
      </c>
      <c r="G72" s="2">
        <v>5957.2</v>
      </c>
      <c r="H72" s="2">
        <f>FinanceTable[[#This Row],[Actual]]-FinanceTable[[#This Row],[Budget]]</f>
        <v>1613.2200000000003</v>
      </c>
      <c r="I72" s="3">
        <f>IF(FinanceTable[[#This Row],[Budget]]=0,0,FinanceTable[[#This Row],[Variance]]/FinanceTable[[#This Row],[Budget]])</f>
        <v>0.37136911311746379</v>
      </c>
      <c r="J72" s="4" t="s">
        <v>179</v>
      </c>
      <c r="K72" t="s">
        <v>38</v>
      </c>
      <c r="L72" t="s">
        <v>46</v>
      </c>
      <c r="M7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5063.62</v>
      </c>
      <c r="N7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13</v>
      </c>
    </row>
    <row r="73" spans="1:16" ht="60.75">
      <c r="A73" s="1" t="s">
        <v>23</v>
      </c>
      <c r="B73" t="s">
        <v>103</v>
      </c>
      <c r="C73" t="s">
        <v>41</v>
      </c>
      <c r="D73" t="s">
        <v>178</v>
      </c>
      <c r="E73" s="4" t="s">
        <v>206</v>
      </c>
      <c r="F73" s="2">
        <v>5030.3900000000003</v>
      </c>
      <c r="G73" s="2">
        <v>5183.68</v>
      </c>
      <c r="H73" s="2">
        <f>FinanceTable[[#This Row],[Actual]]-FinanceTable[[#This Row],[Budget]]</f>
        <v>153.28999999999996</v>
      </c>
      <c r="I73" s="3">
        <f>IF(FinanceTable[[#This Row],[Budget]]=0,0,FinanceTable[[#This Row],[Variance]]/FinanceTable[[#This Row],[Budget]])</f>
        <v>3.047278640423505E-2</v>
      </c>
      <c r="J73" s="4" t="s">
        <v>207</v>
      </c>
      <c r="K73" t="s">
        <v>45</v>
      </c>
      <c r="L73" t="s">
        <v>46</v>
      </c>
      <c r="M7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5183.68</v>
      </c>
      <c r="N7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74" spans="1:16" ht="60.75">
      <c r="A74" s="1" t="s">
        <v>28</v>
      </c>
      <c r="B74" t="s">
        <v>34</v>
      </c>
      <c r="C74" t="s">
        <v>41</v>
      </c>
      <c r="D74" t="s">
        <v>178</v>
      </c>
      <c r="E74" s="4" t="s">
        <v>193</v>
      </c>
      <c r="F74" s="2">
        <v>3242.73</v>
      </c>
      <c r="G74" s="2">
        <v>3444.93</v>
      </c>
      <c r="H74" s="2">
        <f>FinanceTable[[#This Row],[Actual]]-FinanceTable[[#This Row],[Budget]]</f>
        <v>202.19999999999982</v>
      </c>
      <c r="I74" s="3">
        <f>IF(FinanceTable[[#This Row],[Budget]]=0,0,FinanceTable[[#This Row],[Variance]]/FinanceTable[[#This Row],[Budget]])</f>
        <v>6.235486765780679E-2</v>
      </c>
      <c r="J74" s="4" t="s">
        <v>150</v>
      </c>
      <c r="K74" t="s">
        <v>45</v>
      </c>
      <c r="L74" t="s">
        <v>46</v>
      </c>
      <c r="M7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3444.93</v>
      </c>
      <c r="N7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75" spans="1:16" ht="60.75">
      <c r="A75" s="1" t="s">
        <v>54</v>
      </c>
      <c r="B75" t="s">
        <v>17</v>
      </c>
      <c r="C75" t="s">
        <v>79</v>
      </c>
      <c r="D75" t="s">
        <v>208</v>
      </c>
      <c r="E75" s="4" t="s">
        <v>209</v>
      </c>
      <c r="F75" s="2">
        <v>5341</v>
      </c>
      <c r="G75" s="2">
        <v>5635.4</v>
      </c>
      <c r="H75" s="2">
        <f>FinanceTable[[#This Row],[Actual]]-FinanceTable[[#This Row],[Budget]]</f>
        <v>294.39999999999964</v>
      </c>
      <c r="I75" s="3">
        <f>IF(FinanceTable[[#This Row],[Budget]]=0,0,FinanceTable[[#This Row],[Variance]]/FinanceTable[[#This Row],[Budget]])</f>
        <v>5.5120763901890961E-2</v>
      </c>
      <c r="J75" s="4" t="s">
        <v>210</v>
      </c>
      <c r="K75" t="s">
        <v>45</v>
      </c>
      <c r="L75" t="s">
        <v>46</v>
      </c>
      <c r="M7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5635.4</v>
      </c>
      <c r="N7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76" spans="1:16" ht="76.5">
      <c r="A76" s="1" t="s">
        <v>71</v>
      </c>
      <c r="B76" t="s">
        <v>17</v>
      </c>
      <c r="C76" t="s">
        <v>25</v>
      </c>
      <c r="D76" t="s">
        <v>153</v>
      </c>
      <c r="E76" s="4" t="s">
        <v>172</v>
      </c>
      <c r="F76" s="2">
        <v>13440.12</v>
      </c>
      <c r="G76" s="2">
        <v>13541.7</v>
      </c>
      <c r="H76" s="2">
        <f>FinanceTable[[#This Row],[Actual]]-FinanceTable[[#This Row],[Budget]]</f>
        <v>101.57999999999993</v>
      </c>
      <c r="I76" s="3">
        <f>IF(FinanceTable[[#This Row],[Budget]]=0,0,FinanceTable[[#This Row],[Variance]]/FinanceTable[[#This Row],[Budget]])</f>
        <v>7.5579682324264904E-3</v>
      </c>
      <c r="J76" s="4" t="s">
        <v>211</v>
      </c>
      <c r="K76" t="s">
        <v>45</v>
      </c>
      <c r="L76" t="s">
        <v>46</v>
      </c>
      <c r="M7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13541.7</v>
      </c>
      <c r="N76" s="2">
        <f>IF(FinanceTable[[#This Row],[Account]]="Advertising",IFERROR(FinanceTable[[#This Row],[Actual]]/(MAX(1,SUMIFS(FinanceTable[Actual],FinanceTable[Month],FinanceTable[[#This Row],[Month]],FinanceTable[Account],"Revenue")/1000)),""),"")</f>
        <v>21.606650745276834</v>
      </c>
      <c r="O76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7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77" spans="1:16" ht="60.75">
      <c r="A77" s="1" t="s">
        <v>110</v>
      </c>
      <c r="B77" t="s">
        <v>59</v>
      </c>
      <c r="C77" t="s">
        <v>30</v>
      </c>
      <c r="D77" t="s">
        <v>212</v>
      </c>
      <c r="E77" s="4" t="s">
        <v>60</v>
      </c>
      <c r="F77" s="2">
        <v>160417.15</v>
      </c>
      <c r="G77" s="2">
        <v>174529.94</v>
      </c>
      <c r="H77" s="2">
        <f>FinanceTable[[#This Row],[Actual]]-FinanceTable[[#This Row],[Budget]]</f>
        <v>14112.790000000008</v>
      </c>
      <c r="I77" s="3">
        <f>IF(FinanceTable[[#This Row],[Budget]]=0,0,FinanceTable[[#This Row],[Variance]]/FinanceTable[[#This Row],[Budget]])</f>
        <v>8.7975568696987874E-2</v>
      </c>
      <c r="J77" s="4" t="s">
        <v>131</v>
      </c>
      <c r="K77" t="s">
        <v>45</v>
      </c>
      <c r="L77" t="s">
        <v>46</v>
      </c>
      <c r="M7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174529.94</v>
      </c>
      <c r="N7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78" spans="1:16" ht="60.75">
      <c r="A78" s="1" t="s">
        <v>16</v>
      </c>
      <c r="B78" t="s">
        <v>34</v>
      </c>
      <c r="C78" t="s">
        <v>18</v>
      </c>
      <c r="D78" t="s">
        <v>48</v>
      </c>
      <c r="E78" s="4" t="s">
        <v>213</v>
      </c>
      <c r="F78" s="2">
        <v>8173.86</v>
      </c>
      <c r="G78" s="2">
        <v>11732.99</v>
      </c>
      <c r="H78" s="2">
        <f>FinanceTable[[#This Row],[Actual]]-FinanceTable[[#This Row],[Budget]]</f>
        <v>3559.13</v>
      </c>
      <c r="I78" s="3">
        <f>IF(FinanceTable[[#This Row],[Budget]]=0,0,FinanceTable[[#This Row],[Variance]]/FinanceTable[[#This Row],[Budget]])</f>
        <v>0.43542830437516672</v>
      </c>
      <c r="J78" s="4" t="s">
        <v>214</v>
      </c>
      <c r="K78" t="s">
        <v>38</v>
      </c>
      <c r="L78" t="s">
        <v>46</v>
      </c>
      <c r="M7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9973.0414999999994</v>
      </c>
      <c r="N7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19</v>
      </c>
    </row>
    <row r="79" spans="1:16" ht="60.75">
      <c r="A79" s="1" t="s">
        <v>28</v>
      </c>
      <c r="B79" t="s">
        <v>59</v>
      </c>
      <c r="C79" t="s">
        <v>41</v>
      </c>
      <c r="D79" t="s">
        <v>192</v>
      </c>
      <c r="E79" s="4" t="s">
        <v>97</v>
      </c>
      <c r="F79" s="2">
        <v>2073.9899999999998</v>
      </c>
      <c r="G79" s="2">
        <v>2081.8200000000002</v>
      </c>
      <c r="H79" s="2">
        <f>FinanceTable[[#This Row],[Actual]]-FinanceTable[[#This Row],[Budget]]</f>
        <v>7.830000000000382</v>
      </c>
      <c r="I79" s="3">
        <f>IF(FinanceTable[[#This Row],[Budget]]=0,0,FinanceTable[[#This Row],[Variance]]/FinanceTable[[#This Row],[Budget]])</f>
        <v>3.7753316071921189E-3</v>
      </c>
      <c r="J79" s="4" t="s">
        <v>150</v>
      </c>
      <c r="K79" t="s">
        <v>45</v>
      </c>
      <c r="L79" t="s">
        <v>46</v>
      </c>
      <c r="M7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2081.8200000000002</v>
      </c>
      <c r="N7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7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7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80" spans="1:16" ht="60.75">
      <c r="A80" s="1" t="s">
        <v>93</v>
      </c>
      <c r="B80" t="s">
        <v>24</v>
      </c>
      <c r="C80" t="s">
        <v>67</v>
      </c>
      <c r="D80" t="s">
        <v>215</v>
      </c>
      <c r="E80" s="4" t="s">
        <v>69</v>
      </c>
      <c r="F80" s="2">
        <v>62807.93</v>
      </c>
      <c r="G80" s="2">
        <v>64846.59</v>
      </c>
      <c r="H80" s="2">
        <f>FinanceTable[[#This Row],[Actual]]-FinanceTable[[#This Row],[Budget]]</f>
        <v>2038.6599999999962</v>
      </c>
      <c r="I80" s="3">
        <f>IF(FinanceTable[[#This Row],[Budget]]=0,0,FinanceTable[[#This Row],[Variance]]/FinanceTable[[#This Row],[Budget]])</f>
        <v>3.2458640174895054E-2</v>
      </c>
      <c r="J80" s="4" t="s">
        <v>96</v>
      </c>
      <c r="K80" t="s">
        <v>45</v>
      </c>
      <c r="L80" t="s">
        <v>46</v>
      </c>
      <c r="M8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64846.59</v>
      </c>
      <c r="N8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81" spans="1:16" ht="76.5">
      <c r="A81" s="1" t="s">
        <v>28</v>
      </c>
      <c r="B81" t="s">
        <v>59</v>
      </c>
      <c r="C81" t="s">
        <v>25</v>
      </c>
      <c r="E81" s="4" t="s">
        <v>216</v>
      </c>
      <c r="F81" s="2">
        <v>6648.5</v>
      </c>
      <c r="G81" s="2">
        <v>5543.68</v>
      </c>
      <c r="H81" s="2">
        <f>FinanceTable[[#This Row],[Actual]]-FinanceTable[[#This Row],[Budget]]</f>
        <v>-1104.8199999999997</v>
      </c>
      <c r="I81" s="3">
        <f>IF(FinanceTable[[#This Row],[Budget]]=0,0,FinanceTable[[#This Row],[Variance]]/FinanceTable[[#This Row],[Budget]])</f>
        <v>-0.16617582913439116</v>
      </c>
      <c r="J81" s="4" t="s">
        <v>173</v>
      </c>
      <c r="K81" t="s">
        <v>38</v>
      </c>
      <c r="L81" t="s">
        <v>22</v>
      </c>
      <c r="M8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3298.4895999999999</v>
      </c>
      <c r="N81" s="2">
        <f>IF(FinanceTable[[#This Row],[Account]]="Advertising",IFERROR(FinanceTable[[#This Row],[Actual]]/(MAX(1,SUMIFS(FinanceTable[Actual],FinanceTable[Month],FinanceTable[[#This Row],[Month]],FinanceTable[Account],"Revenue")/1000)),""),"")</f>
        <v>12.740706440787381</v>
      </c>
      <c r="O81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8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16</v>
      </c>
    </row>
    <row r="82" spans="1:16" ht="60.75">
      <c r="A82" s="1" t="s">
        <v>110</v>
      </c>
      <c r="B82" t="s">
        <v>103</v>
      </c>
      <c r="C82" t="s">
        <v>35</v>
      </c>
      <c r="E82" s="4" t="s">
        <v>217</v>
      </c>
      <c r="F82" s="2">
        <v>6281.02</v>
      </c>
      <c r="G82" s="2">
        <v>7354.86</v>
      </c>
      <c r="H82" s="2">
        <f>FinanceTable[[#This Row],[Actual]]-FinanceTable[[#This Row],[Budget]]</f>
        <v>1073.8399999999992</v>
      </c>
      <c r="I82" s="3">
        <f>IF(FinanceTable[[#This Row],[Budget]]=0,0,FinanceTable[[#This Row],[Variance]]/FinanceTable[[#This Row],[Budget]])</f>
        <v>0.17096586223256718</v>
      </c>
      <c r="J82" s="4" t="s">
        <v>218</v>
      </c>
      <c r="K82" t="s">
        <v>21</v>
      </c>
      <c r="L82" t="s">
        <v>22</v>
      </c>
      <c r="M8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3861.3014999999996</v>
      </c>
      <c r="N8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45</v>
      </c>
    </row>
    <row r="83" spans="1:16" ht="76.5">
      <c r="A83" s="1" t="s">
        <v>16</v>
      </c>
      <c r="B83" t="s">
        <v>34</v>
      </c>
      <c r="C83" t="s">
        <v>25</v>
      </c>
      <c r="E83" s="4" t="s">
        <v>219</v>
      </c>
      <c r="F83" s="2">
        <v>5819.19</v>
      </c>
      <c r="G83" s="2">
        <v>6982.94</v>
      </c>
      <c r="H83" s="2">
        <f>FinanceTable[[#This Row],[Actual]]-FinanceTable[[#This Row],[Budget]]</f>
        <v>1163.75</v>
      </c>
      <c r="I83" s="3">
        <f>IF(FinanceTable[[#This Row],[Budget]]=0,0,FinanceTable[[#This Row],[Variance]]/FinanceTable[[#This Row],[Budget]])</f>
        <v>0.19998487762042486</v>
      </c>
      <c r="J83" s="4" t="s">
        <v>143</v>
      </c>
      <c r="K83" t="s">
        <v>38</v>
      </c>
      <c r="L83" t="s">
        <v>22</v>
      </c>
      <c r="M8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4154.8492999999989</v>
      </c>
      <c r="N83" s="2">
        <f>IF(FinanceTable[[#This Row],[Account]]="Advertising",IFERROR(FinanceTable[[#This Row],[Actual]]/(MAX(1,SUMIFS(FinanceTable[Actual],FinanceTable[Month],FinanceTable[[#This Row],[Month]],FinanceTable[Account],"Revenue")/1000)),""),"")</f>
        <v>85.413023157733022</v>
      </c>
      <c r="O83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8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18</v>
      </c>
    </row>
    <row r="84" spans="1:16" ht="60.75">
      <c r="A84" s="1" t="s">
        <v>93</v>
      </c>
      <c r="B84" t="s">
        <v>34</v>
      </c>
      <c r="C84" t="s">
        <v>18</v>
      </c>
      <c r="D84" t="s">
        <v>48</v>
      </c>
      <c r="E84" s="4" t="s">
        <v>123</v>
      </c>
      <c r="F84" s="2">
        <v>4353.76</v>
      </c>
      <c r="G84" s="2">
        <v>6028.74</v>
      </c>
      <c r="H84" s="2">
        <f>FinanceTable[[#This Row],[Actual]]-FinanceTable[[#This Row],[Budget]]</f>
        <v>1674.9799999999996</v>
      </c>
      <c r="I84" s="3">
        <f>IF(FinanceTable[[#This Row],[Budget]]=0,0,FinanceTable[[#This Row],[Variance]]/FinanceTable[[#This Row],[Budget]])</f>
        <v>0.38472033368858172</v>
      </c>
      <c r="J84" s="4" t="s">
        <v>181</v>
      </c>
      <c r="K84" t="s">
        <v>38</v>
      </c>
      <c r="L84" t="s">
        <v>46</v>
      </c>
      <c r="M8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5124.4290000000001</v>
      </c>
      <c r="N8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9</v>
      </c>
    </row>
    <row r="85" spans="1:16" ht="60.75">
      <c r="A85" s="1" t="s">
        <v>110</v>
      </c>
      <c r="B85" t="s">
        <v>34</v>
      </c>
      <c r="C85" t="s">
        <v>83</v>
      </c>
      <c r="D85" t="s">
        <v>220</v>
      </c>
      <c r="E85" s="4" t="s">
        <v>221</v>
      </c>
      <c r="F85" s="2">
        <v>7337.86</v>
      </c>
      <c r="G85" s="2">
        <v>8291.73</v>
      </c>
      <c r="H85" s="2">
        <f>FinanceTable[[#This Row],[Actual]]-FinanceTable[[#This Row],[Budget]]</f>
        <v>953.86999999999989</v>
      </c>
      <c r="I85" s="3">
        <f>IF(FinanceTable[[#This Row],[Budget]]=0,0,FinanceTable[[#This Row],[Variance]]/FinanceTable[[#This Row],[Budget]])</f>
        <v>0.12999294072113668</v>
      </c>
      <c r="J85" s="4" t="s">
        <v>122</v>
      </c>
      <c r="K85" t="s">
        <v>45</v>
      </c>
      <c r="L85" t="s">
        <v>46</v>
      </c>
      <c r="M8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8291.73</v>
      </c>
      <c r="N8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86" spans="1:16" ht="60.75">
      <c r="A86" s="1" t="s">
        <v>110</v>
      </c>
      <c r="B86" t="s">
        <v>24</v>
      </c>
      <c r="C86" t="s">
        <v>18</v>
      </c>
      <c r="D86" t="s">
        <v>72</v>
      </c>
      <c r="E86" s="4" t="s">
        <v>49</v>
      </c>
      <c r="F86" s="2">
        <v>3737.37</v>
      </c>
      <c r="G86" s="2">
        <v>3529.27</v>
      </c>
      <c r="H86" s="2">
        <f>FinanceTable[[#This Row],[Actual]]-FinanceTable[[#This Row],[Budget]]</f>
        <v>-208.09999999999991</v>
      </c>
      <c r="I86" s="3">
        <f>IF(FinanceTable[[#This Row],[Budget]]=0,0,FinanceTable[[#This Row],[Variance]]/FinanceTable[[#This Row],[Budget]])</f>
        <v>-5.5680866491677278E-2</v>
      </c>
      <c r="J86" s="4" t="s">
        <v>222</v>
      </c>
      <c r="K86" t="s">
        <v>45</v>
      </c>
      <c r="L86" t="s">
        <v>46</v>
      </c>
      <c r="M8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3529.27</v>
      </c>
      <c r="N8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87" spans="1:16" ht="60.75">
      <c r="A87" s="1" t="s">
        <v>28</v>
      </c>
      <c r="B87" t="s">
        <v>17</v>
      </c>
      <c r="C87" t="s">
        <v>41</v>
      </c>
      <c r="D87" t="s">
        <v>178</v>
      </c>
      <c r="E87" s="4" t="s">
        <v>223</v>
      </c>
      <c r="F87" s="2">
        <v>1700.09</v>
      </c>
      <c r="G87" s="2">
        <v>1921.96</v>
      </c>
      <c r="H87" s="2">
        <f>FinanceTable[[#This Row],[Actual]]-FinanceTable[[#This Row],[Budget]]</f>
        <v>221.87000000000012</v>
      </c>
      <c r="I87" s="3">
        <f>IF(FinanceTable[[#This Row],[Budget]]=0,0,FinanceTable[[#This Row],[Variance]]/FinanceTable[[#This Row],[Budget]])</f>
        <v>0.13050485562529049</v>
      </c>
      <c r="J87" s="4" t="s">
        <v>150</v>
      </c>
      <c r="K87" t="s">
        <v>45</v>
      </c>
      <c r="L87" t="s">
        <v>46</v>
      </c>
      <c r="M8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1921.96</v>
      </c>
      <c r="N8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88" spans="1:16" ht="76.5">
      <c r="A88" s="1" t="s">
        <v>47</v>
      </c>
      <c r="B88" t="s">
        <v>103</v>
      </c>
      <c r="C88" t="s">
        <v>25</v>
      </c>
      <c r="D88" t="s">
        <v>107</v>
      </c>
      <c r="E88" s="4" t="s">
        <v>224</v>
      </c>
      <c r="F88" s="2">
        <v>17654.509999999998</v>
      </c>
      <c r="G88" s="2">
        <v>18473.14</v>
      </c>
      <c r="H88" s="2">
        <f>FinanceTable[[#This Row],[Actual]]-FinanceTable[[#This Row],[Budget]]</f>
        <v>818.63000000000102</v>
      </c>
      <c r="I88" s="3">
        <f>IF(FinanceTable[[#This Row],[Budget]]=0,0,FinanceTable[[#This Row],[Variance]]/FinanceTable[[#This Row],[Budget]])</f>
        <v>4.6369454603951123E-2</v>
      </c>
      <c r="J88" s="4" t="s">
        <v>156</v>
      </c>
      <c r="K88" t="s">
        <v>45</v>
      </c>
      <c r="L88" t="s">
        <v>46</v>
      </c>
      <c r="M8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18473.14</v>
      </c>
      <c r="N88" s="2">
        <f>IF(FinanceTable[[#This Row],[Account]]="Advertising",IFERROR(FinanceTable[[#This Row],[Actual]]/(MAX(1,SUMIFS(FinanceTable[Actual],FinanceTable[Month],FinanceTable[[#This Row],[Month]],FinanceTable[Account],"Revenue")/1000)),""),"")</f>
        <v>90.642068552813427</v>
      </c>
      <c r="O88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8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89" spans="1:16" ht="60.75">
      <c r="A89" s="1" t="s">
        <v>78</v>
      </c>
      <c r="B89" t="s">
        <v>34</v>
      </c>
      <c r="C89" t="s">
        <v>79</v>
      </c>
      <c r="D89" t="s">
        <v>158</v>
      </c>
      <c r="E89" s="4" t="s">
        <v>225</v>
      </c>
      <c r="F89" s="2">
        <v>12729.77</v>
      </c>
      <c r="G89" s="2">
        <v>10947.02</v>
      </c>
      <c r="H89" s="2">
        <f>FinanceTable[[#This Row],[Actual]]-FinanceTable[[#This Row],[Budget]]</f>
        <v>-1782.75</v>
      </c>
      <c r="I89" s="3">
        <f>IF(FinanceTable[[#This Row],[Budget]]=0,0,FinanceTable[[#This Row],[Variance]]/FinanceTable[[#This Row],[Budget]])</f>
        <v>-0.14004573531179274</v>
      </c>
      <c r="J89" s="4" t="s">
        <v>82</v>
      </c>
      <c r="K89" t="s">
        <v>45</v>
      </c>
      <c r="L89" t="s">
        <v>46</v>
      </c>
      <c r="M8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10947.02</v>
      </c>
      <c r="N8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8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8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90" spans="1:16" ht="60.75">
      <c r="A90" s="1" t="s">
        <v>40</v>
      </c>
      <c r="B90" t="s">
        <v>103</v>
      </c>
      <c r="C90" t="s">
        <v>62</v>
      </c>
      <c r="D90" t="s">
        <v>226</v>
      </c>
      <c r="E90" s="4" t="s">
        <v>137</v>
      </c>
      <c r="F90" s="2">
        <v>6819.7</v>
      </c>
      <c r="G90" s="2">
        <v>8144.31</v>
      </c>
      <c r="H90" s="2">
        <f>FinanceTable[[#This Row],[Actual]]-FinanceTable[[#This Row],[Budget]]</f>
        <v>1324.6100000000006</v>
      </c>
      <c r="I90" s="3">
        <f>IF(FinanceTable[[#This Row],[Budget]]=0,0,FinanceTable[[#This Row],[Variance]]/FinanceTable[[#This Row],[Budget]])</f>
        <v>0.19423288414446394</v>
      </c>
      <c r="J90" s="4" t="s">
        <v>65</v>
      </c>
      <c r="K90" t="s">
        <v>45</v>
      </c>
      <c r="L90" t="s">
        <v>46</v>
      </c>
      <c r="M9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8144.31</v>
      </c>
      <c r="N9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91" spans="1:16" ht="60.75">
      <c r="A91" s="1" t="s">
        <v>51</v>
      </c>
      <c r="B91" t="s">
        <v>34</v>
      </c>
      <c r="C91" t="s">
        <v>83</v>
      </c>
      <c r="D91" t="s">
        <v>227</v>
      </c>
      <c r="E91" s="4" t="s">
        <v>221</v>
      </c>
      <c r="F91" s="2">
        <v>1682.35</v>
      </c>
      <c r="G91" s="2">
        <v>1284.32</v>
      </c>
      <c r="H91" s="2">
        <f>FinanceTable[[#This Row],[Actual]]-FinanceTable[[#This Row],[Budget]]</f>
        <v>-398.03</v>
      </c>
      <c r="I91" s="3">
        <f>IF(FinanceTable[[#This Row],[Budget]]=0,0,FinanceTable[[#This Row],[Variance]]/FinanceTable[[#This Row],[Budget]])</f>
        <v>-0.23659167236306358</v>
      </c>
      <c r="J91" s="4" t="s">
        <v>228</v>
      </c>
      <c r="K91" t="s">
        <v>45</v>
      </c>
      <c r="L91" t="s">
        <v>46</v>
      </c>
      <c r="M9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1284.32</v>
      </c>
      <c r="N9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92" spans="1:16" ht="60.75">
      <c r="A92" s="1" t="s">
        <v>51</v>
      </c>
      <c r="B92" t="s">
        <v>103</v>
      </c>
      <c r="C92" t="s">
        <v>35</v>
      </c>
      <c r="D92" t="s">
        <v>36</v>
      </c>
      <c r="E92" s="4" t="s">
        <v>132</v>
      </c>
      <c r="F92" s="2">
        <v>5691.06</v>
      </c>
      <c r="G92" s="2">
        <v>5363.24</v>
      </c>
      <c r="H92" s="2">
        <f>FinanceTable[[#This Row],[Actual]]-FinanceTable[[#This Row],[Budget]]</f>
        <v>-327.82000000000062</v>
      </c>
      <c r="I92" s="3">
        <f>IF(FinanceTable[[#This Row],[Budget]]=0,0,FinanceTable[[#This Row],[Variance]]/FinanceTable[[#This Row],[Budget]])</f>
        <v>-5.7602625872860344E-2</v>
      </c>
      <c r="J92" s="4" t="s">
        <v>53</v>
      </c>
      <c r="K92" t="s">
        <v>21</v>
      </c>
      <c r="L92" t="s">
        <v>46</v>
      </c>
      <c r="M9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4022.43</v>
      </c>
      <c r="N9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45</v>
      </c>
    </row>
    <row r="93" spans="1:16" ht="76.5">
      <c r="A93" s="1" t="s">
        <v>93</v>
      </c>
      <c r="B93" t="s">
        <v>103</v>
      </c>
      <c r="C93" t="s">
        <v>99</v>
      </c>
      <c r="D93" t="s">
        <v>229</v>
      </c>
      <c r="E93" s="4" t="s">
        <v>230</v>
      </c>
      <c r="F93" s="2">
        <v>5894.91</v>
      </c>
      <c r="G93" s="2">
        <v>5567.31</v>
      </c>
      <c r="H93" s="2">
        <f>FinanceTable[[#This Row],[Actual]]-FinanceTable[[#This Row],[Budget]]</f>
        <v>-327.59999999999945</v>
      </c>
      <c r="I93" s="3">
        <f>IF(FinanceTable[[#This Row],[Budget]]=0,0,FinanceTable[[#This Row],[Variance]]/FinanceTable[[#This Row],[Budget]])</f>
        <v>-5.5573367532328645E-2</v>
      </c>
      <c r="J93" s="4" t="s">
        <v>231</v>
      </c>
      <c r="K93" t="s">
        <v>45</v>
      </c>
      <c r="L93" t="s">
        <v>46</v>
      </c>
      <c r="M9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5567.31</v>
      </c>
      <c r="N9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94" spans="1:16" ht="60.75">
      <c r="A94" s="1" t="s">
        <v>16</v>
      </c>
      <c r="B94" t="s">
        <v>24</v>
      </c>
      <c r="C94" t="s">
        <v>62</v>
      </c>
      <c r="D94" t="s">
        <v>232</v>
      </c>
      <c r="E94" s="4" t="s">
        <v>233</v>
      </c>
      <c r="F94" s="2">
        <v>9156.19</v>
      </c>
      <c r="G94" s="2">
        <v>8049.41</v>
      </c>
      <c r="H94" s="2">
        <f>FinanceTable[[#This Row],[Actual]]-FinanceTable[[#This Row],[Budget]]</f>
        <v>-1106.7800000000007</v>
      </c>
      <c r="I94" s="3">
        <f>IF(FinanceTable[[#This Row],[Budget]]=0,0,FinanceTable[[#This Row],[Variance]]/FinanceTable[[#This Row],[Budget]])</f>
        <v>-0.12087778868721603</v>
      </c>
      <c r="J94" s="4" t="s">
        <v>234</v>
      </c>
      <c r="K94" t="s">
        <v>45</v>
      </c>
      <c r="L94" t="s">
        <v>46</v>
      </c>
      <c r="M9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8049.41</v>
      </c>
      <c r="N9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95" spans="1:16" ht="45.75">
      <c r="A95" s="1" t="s">
        <v>47</v>
      </c>
      <c r="B95" t="s">
        <v>17</v>
      </c>
      <c r="C95" t="s">
        <v>25</v>
      </c>
      <c r="E95" s="4" t="s">
        <v>172</v>
      </c>
      <c r="F95" s="2">
        <v>50800.45</v>
      </c>
      <c r="G95" s="2">
        <v>62113.46</v>
      </c>
      <c r="H95" s="2">
        <f>FinanceTable[[#This Row],[Actual]]-FinanceTable[[#This Row],[Budget]]</f>
        <v>11313.010000000002</v>
      </c>
      <c r="I95" s="3">
        <f>IF(FinanceTable[[#This Row],[Budget]]=0,0,FinanceTable[[#This Row],[Variance]]/FinanceTable[[#This Row],[Budget]])</f>
        <v>0.222695074551505</v>
      </c>
      <c r="J95" s="4"/>
      <c r="K95" t="s">
        <v>21</v>
      </c>
      <c r="L95" t="s">
        <v>22</v>
      </c>
      <c r="M9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32609.566500000001</v>
      </c>
      <c r="N95" s="2">
        <f>IF(FinanceTable[[#This Row],[Account]]="Advertising",IFERROR(FinanceTable[[#This Row],[Actual]]/(MAX(1,SUMIFS(FinanceTable[Actual],FinanceTable[Month],FinanceTable[[#This Row],[Month]],FinanceTable[Account],"Revenue")/1000)),""),"")</f>
        <v>304.77182002477298</v>
      </c>
      <c r="O95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9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27</v>
      </c>
    </row>
    <row r="96" spans="1:16" ht="60.75">
      <c r="A96" s="1" t="s">
        <v>47</v>
      </c>
      <c r="B96" t="s">
        <v>59</v>
      </c>
      <c r="C96" t="s">
        <v>35</v>
      </c>
      <c r="D96" t="s">
        <v>36</v>
      </c>
      <c r="E96" s="4" t="s">
        <v>235</v>
      </c>
      <c r="F96" s="2">
        <v>4991.1000000000004</v>
      </c>
      <c r="G96" s="2">
        <v>5352.35</v>
      </c>
      <c r="H96" s="2">
        <f>FinanceTable[[#This Row],[Actual]]-FinanceTable[[#This Row],[Budget]]</f>
        <v>361.25</v>
      </c>
      <c r="I96" s="3">
        <f>IF(FinanceTable[[#This Row],[Budget]]=0,0,FinanceTable[[#This Row],[Variance]]/FinanceTable[[#This Row],[Budget]])</f>
        <v>7.2378834325098673E-2</v>
      </c>
      <c r="J96" s="4" t="s">
        <v>89</v>
      </c>
      <c r="K96" t="s">
        <v>21</v>
      </c>
      <c r="L96" t="s">
        <v>46</v>
      </c>
      <c r="M9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4014.2625000000003</v>
      </c>
      <c r="N9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18</v>
      </c>
    </row>
    <row r="97" spans="1:16" ht="60.75">
      <c r="A97" s="1" t="s">
        <v>110</v>
      </c>
      <c r="B97" t="s">
        <v>29</v>
      </c>
      <c r="C97" t="s">
        <v>41</v>
      </c>
      <c r="D97" t="s">
        <v>192</v>
      </c>
      <c r="E97" s="4" t="s">
        <v>236</v>
      </c>
      <c r="F97" s="2">
        <v>494.75</v>
      </c>
      <c r="G97" s="2">
        <v>7060.72</v>
      </c>
      <c r="H97" s="2">
        <f>FinanceTable[[#This Row],[Actual]]-FinanceTable[[#This Row],[Budget]]</f>
        <v>6565.97</v>
      </c>
      <c r="I97" s="3">
        <f>IF(FinanceTable[[#This Row],[Budget]]=0,0,FinanceTable[[#This Row],[Variance]]/FinanceTable[[#This Row],[Budget]])</f>
        <v>13.271288529560385</v>
      </c>
      <c r="J97" s="4" t="s">
        <v>237</v>
      </c>
      <c r="K97" t="s">
        <v>38</v>
      </c>
      <c r="L97" t="s">
        <v>39</v>
      </c>
      <c r="M9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3000.806</v>
      </c>
      <c r="N9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9</v>
      </c>
    </row>
    <row r="98" spans="1:16" ht="60.75">
      <c r="A98" s="1" t="s">
        <v>71</v>
      </c>
      <c r="B98" t="s">
        <v>29</v>
      </c>
      <c r="C98" t="s">
        <v>35</v>
      </c>
      <c r="D98" t="s">
        <v>163</v>
      </c>
      <c r="E98" s="4" t="s">
        <v>238</v>
      </c>
      <c r="F98" s="2">
        <v>3799.11</v>
      </c>
      <c r="G98" s="2">
        <v>3527.11</v>
      </c>
      <c r="H98" s="2">
        <f>FinanceTable[[#This Row],[Actual]]-FinanceTable[[#This Row],[Budget]]</f>
        <v>-272</v>
      </c>
      <c r="I98" s="3">
        <f>IF(FinanceTable[[#This Row],[Budget]]=0,0,FinanceTable[[#This Row],[Variance]]/FinanceTable[[#This Row],[Budget]])</f>
        <v>-7.1595715838709592E-2</v>
      </c>
      <c r="J98" s="4" t="s">
        <v>239</v>
      </c>
      <c r="K98" t="s">
        <v>45</v>
      </c>
      <c r="L98" t="s">
        <v>46</v>
      </c>
      <c r="M9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3527.11</v>
      </c>
      <c r="N9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99" spans="1:16" ht="60.75">
      <c r="A99" s="1" t="s">
        <v>54</v>
      </c>
      <c r="B99" t="s">
        <v>34</v>
      </c>
      <c r="C99" t="s">
        <v>83</v>
      </c>
      <c r="D99" t="s">
        <v>227</v>
      </c>
      <c r="E99" s="4" t="s">
        <v>240</v>
      </c>
      <c r="F99" s="2">
        <v>13002.77</v>
      </c>
      <c r="G99" s="2">
        <v>11368.17</v>
      </c>
      <c r="H99" s="2">
        <f>FinanceTable[[#This Row],[Actual]]-FinanceTable[[#This Row],[Budget]]</f>
        <v>-1634.6000000000004</v>
      </c>
      <c r="I99" s="3">
        <f>IF(FinanceTable[[#This Row],[Budget]]=0,0,FinanceTable[[#This Row],[Variance]]/FinanceTable[[#This Row],[Budget]])</f>
        <v>-0.12571167528149774</v>
      </c>
      <c r="J99" s="4" t="s">
        <v>241</v>
      </c>
      <c r="K99" t="s">
        <v>45</v>
      </c>
      <c r="L99" t="s">
        <v>46</v>
      </c>
      <c r="M9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11368.17</v>
      </c>
      <c r="N9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9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9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00" spans="1:16" ht="45.75">
      <c r="A100" s="1" t="s">
        <v>28</v>
      </c>
      <c r="B100" t="s">
        <v>59</v>
      </c>
      <c r="C100" t="s">
        <v>99</v>
      </c>
      <c r="D100" t="s">
        <v>229</v>
      </c>
      <c r="E100" s="4" t="s">
        <v>242</v>
      </c>
      <c r="F100" s="2">
        <v>27377.81</v>
      </c>
      <c r="G100" s="2">
        <v>20908.84</v>
      </c>
      <c r="H100" s="2">
        <f>FinanceTable[[#This Row],[Actual]]-FinanceTable[[#This Row],[Budget]]</f>
        <v>-6468.9700000000012</v>
      </c>
      <c r="I100" s="3">
        <f>IF(FinanceTable[[#This Row],[Budget]]=0,0,FinanceTable[[#This Row],[Variance]]/FinanceTable[[#This Row],[Budget]])</f>
        <v>-0.23628515209945575</v>
      </c>
      <c r="J100" s="4"/>
      <c r="K100" t="s">
        <v>45</v>
      </c>
      <c r="L100" t="s">
        <v>46</v>
      </c>
      <c r="M10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20908.84</v>
      </c>
      <c r="N10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01" spans="1:16" ht="60.75">
      <c r="A101" s="1" t="s">
        <v>40</v>
      </c>
      <c r="B101" t="s">
        <v>29</v>
      </c>
      <c r="C101" t="s">
        <v>41</v>
      </c>
      <c r="D101" t="s">
        <v>178</v>
      </c>
      <c r="E101" s="4" t="s">
        <v>128</v>
      </c>
      <c r="F101" s="2">
        <v>0</v>
      </c>
      <c r="G101" s="2">
        <v>2174.59</v>
      </c>
      <c r="H101" s="2">
        <f>FinanceTable[[#This Row],[Actual]]-FinanceTable[[#This Row],[Budget]]</f>
        <v>2174.59</v>
      </c>
      <c r="I101" s="3">
        <f>IF(FinanceTable[[#This Row],[Budget]]=0,0,FinanceTable[[#This Row],[Variance]]/FinanceTable[[#This Row],[Budget]])</f>
        <v>0</v>
      </c>
      <c r="J101" s="4" t="s">
        <v>44</v>
      </c>
      <c r="K101" t="s">
        <v>45</v>
      </c>
      <c r="L101" t="s">
        <v>46</v>
      </c>
      <c r="M10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2174.59</v>
      </c>
      <c r="N10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02" spans="1:16" ht="60.75">
      <c r="A102" s="1" t="s">
        <v>110</v>
      </c>
      <c r="B102" t="s">
        <v>24</v>
      </c>
      <c r="C102" t="s">
        <v>79</v>
      </c>
      <c r="D102" t="s">
        <v>208</v>
      </c>
      <c r="E102" s="4" t="s">
        <v>243</v>
      </c>
      <c r="F102" s="2">
        <v>10955.6</v>
      </c>
      <c r="G102" s="2">
        <v>13408.02</v>
      </c>
      <c r="H102" s="2">
        <f>FinanceTable[[#This Row],[Actual]]-FinanceTable[[#This Row],[Budget]]</f>
        <v>2452.42</v>
      </c>
      <c r="I102" s="3">
        <f>IF(FinanceTable[[#This Row],[Budget]]=0,0,FinanceTable[[#This Row],[Variance]]/FinanceTable[[#This Row],[Budget]])</f>
        <v>0.22385081602103035</v>
      </c>
      <c r="J102" s="4" t="s">
        <v>244</v>
      </c>
      <c r="K102" t="s">
        <v>45</v>
      </c>
      <c r="L102" t="s">
        <v>46</v>
      </c>
      <c r="M10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13408.02</v>
      </c>
      <c r="N10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03" spans="1:16" ht="60.75">
      <c r="A103" s="1" t="s">
        <v>16</v>
      </c>
      <c r="B103" t="s">
        <v>24</v>
      </c>
      <c r="C103" t="s">
        <v>62</v>
      </c>
      <c r="E103" s="4" t="s">
        <v>245</v>
      </c>
      <c r="F103" s="2">
        <v>11231.17</v>
      </c>
      <c r="G103" s="2">
        <v>11747.81</v>
      </c>
      <c r="H103" s="2">
        <f>FinanceTable[[#This Row],[Actual]]-FinanceTable[[#This Row],[Budget]]</f>
        <v>516.63999999999942</v>
      </c>
      <c r="I103" s="3">
        <f>IF(FinanceTable[[#This Row],[Budget]]=0,0,FinanceTable[[#This Row],[Variance]]/FinanceTable[[#This Row],[Budget]])</f>
        <v>4.6000550254336761E-2</v>
      </c>
      <c r="J103" s="4" t="s">
        <v>234</v>
      </c>
      <c r="K103" t="s">
        <v>38</v>
      </c>
      <c r="L103" t="s">
        <v>22</v>
      </c>
      <c r="M10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6989.9469499999987</v>
      </c>
      <c r="N10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22</v>
      </c>
    </row>
    <row r="104" spans="1:16" ht="60.75">
      <c r="A104" s="1" t="s">
        <v>93</v>
      </c>
      <c r="B104" t="s">
        <v>29</v>
      </c>
      <c r="C104" t="s">
        <v>41</v>
      </c>
      <c r="D104" t="s">
        <v>127</v>
      </c>
      <c r="E104" s="4" t="s">
        <v>128</v>
      </c>
      <c r="F104" s="2">
        <v>1466.23</v>
      </c>
      <c r="G104" s="2">
        <v>1644.66</v>
      </c>
      <c r="H104" s="2">
        <f>FinanceTable[[#This Row],[Actual]]-FinanceTable[[#This Row],[Budget]]</f>
        <v>178.43000000000006</v>
      </c>
      <c r="I104" s="3">
        <f>IF(FinanceTable[[#This Row],[Budget]]=0,0,FinanceTable[[#This Row],[Variance]]/FinanceTable[[#This Row],[Budget]])</f>
        <v>0.12169304952156214</v>
      </c>
      <c r="J104" s="4" t="s">
        <v>246</v>
      </c>
      <c r="K104" t="s">
        <v>45</v>
      </c>
      <c r="L104" t="s">
        <v>46</v>
      </c>
      <c r="M10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1644.66</v>
      </c>
      <c r="N10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05" spans="1:16" ht="60.75">
      <c r="A105" s="1" t="s">
        <v>93</v>
      </c>
      <c r="B105" t="s">
        <v>34</v>
      </c>
      <c r="C105" t="s">
        <v>83</v>
      </c>
      <c r="D105" t="s">
        <v>120</v>
      </c>
      <c r="E105" s="4" t="s">
        <v>247</v>
      </c>
      <c r="F105" s="2">
        <v>3698.36</v>
      </c>
      <c r="G105" s="2">
        <v>3224.1</v>
      </c>
      <c r="H105" s="2">
        <f>FinanceTable[[#This Row],[Actual]]-FinanceTable[[#This Row],[Budget]]</f>
        <v>-474.26000000000022</v>
      </c>
      <c r="I105" s="3">
        <f>IF(FinanceTable[[#This Row],[Budget]]=0,0,FinanceTable[[#This Row],[Variance]]/FinanceTable[[#This Row],[Budget]])</f>
        <v>-0.12823521777220179</v>
      </c>
      <c r="J105" s="4" t="s">
        <v>248</v>
      </c>
      <c r="K105" t="s">
        <v>45</v>
      </c>
      <c r="L105" t="s">
        <v>46</v>
      </c>
      <c r="M10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3224.1</v>
      </c>
      <c r="N10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06" spans="1:16" ht="76.5">
      <c r="A106" s="1" t="s">
        <v>71</v>
      </c>
      <c r="B106" t="s">
        <v>24</v>
      </c>
      <c r="C106" t="s">
        <v>99</v>
      </c>
      <c r="D106" t="s">
        <v>249</v>
      </c>
      <c r="E106" s="4" t="s">
        <v>250</v>
      </c>
      <c r="F106" s="2">
        <v>54524.4</v>
      </c>
      <c r="G106" s="2">
        <v>75062.97</v>
      </c>
      <c r="H106" s="2">
        <f>FinanceTable[[#This Row],[Actual]]-FinanceTable[[#This Row],[Budget]]</f>
        <v>20538.57</v>
      </c>
      <c r="I106" s="3">
        <f>IF(FinanceTable[[#This Row],[Budget]]=0,0,FinanceTable[[#This Row],[Variance]]/FinanceTable[[#This Row],[Budget]])</f>
        <v>0.37668585073838501</v>
      </c>
      <c r="J106" s="4" t="s">
        <v>251</v>
      </c>
      <c r="K106" t="s">
        <v>21</v>
      </c>
      <c r="L106" t="s">
        <v>46</v>
      </c>
      <c r="M10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56297.227500000001</v>
      </c>
      <c r="N10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28</v>
      </c>
    </row>
    <row r="107" spans="1:16" ht="60.75">
      <c r="A107" s="1" t="s">
        <v>78</v>
      </c>
      <c r="B107" t="s">
        <v>29</v>
      </c>
      <c r="C107" t="s">
        <v>67</v>
      </c>
      <c r="D107" t="s">
        <v>104</v>
      </c>
      <c r="E107" s="4" t="s">
        <v>252</v>
      </c>
      <c r="F107" s="2">
        <v>38277.85</v>
      </c>
      <c r="G107" s="2">
        <v>47629.24</v>
      </c>
      <c r="H107" s="2">
        <f>FinanceTable[[#This Row],[Actual]]-FinanceTable[[#This Row],[Budget]]</f>
        <v>9351.39</v>
      </c>
      <c r="I107" s="3">
        <f>IF(FinanceTable[[#This Row],[Budget]]=0,0,FinanceTable[[#This Row],[Variance]]/FinanceTable[[#This Row],[Budget]])</f>
        <v>0.24430290624995918</v>
      </c>
      <c r="J107" s="4" t="s">
        <v>253</v>
      </c>
      <c r="K107" t="s">
        <v>45</v>
      </c>
      <c r="L107" t="s">
        <v>46</v>
      </c>
      <c r="M10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47629.24</v>
      </c>
      <c r="N10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08" spans="1:16" ht="60.75">
      <c r="A108" s="1" t="s">
        <v>78</v>
      </c>
      <c r="B108" t="s">
        <v>103</v>
      </c>
      <c r="C108" t="s">
        <v>35</v>
      </c>
      <c r="D108" t="s">
        <v>163</v>
      </c>
      <c r="E108" s="4" t="s">
        <v>217</v>
      </c>
      <c r="F108" s="2">
        <v>2273.77</v>
      </c>
      <c r="G108" s="2">
        <v>2813.58</v>
      </c>
      <c r="H108" s="2">
        <f>FinanceTable[[#This Row],[Actual]]-FinanceTable[[#This Row],[Budget]]</f>
        <v>539.80999999999995</v>
      </c>
      <c r="I108" s="3">
        <f>IF(FinanceTable[[#This Row],[Budget]]=0,0,FinanceTable[[#This Row],[Variance]]/FinanceTable[[#This Row],[Budget]])</f>
        <v>0.2374074774493462</v>
      </c>
      <c r="J108" s="4" t="s">
        <v>254</v>
      </c>
      <c r="K108" t="s">
        <v>45</v>
      </c>
      <c r="L108" t="s">
        <v>46</v>
      </c>
      <c r="M10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2813.58</v>
      </c>
      <c r="N10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09" spans="1:16" ht="45.75">
      <c r="A109" s="1" t="s">
        <v>47</v>
      </c>
      <c r="B109" t="s">
        <v>59</v>
      </c>
      <c r="C109" t="s">
        <v>35</v>
      </c>
      <c r="D109" t="s">
        <v>255</v>
      </c>
      <c r="E109" s="4" t="s">
        <v>256</v>
      </c>
      <c r="F109" s="2">
        <v>1813.8</v>
      </c>
      <c r="G109" s="2">
        <v>1753.9</v>
      </c>
      <c r="H109" s="2">
        <f>FinanceTable[[#This Row],[Actual]]-FinanceTable[[#This Row],[Budget]]</f>
        <v>-59.899999999999864</v>
      </c>
      <c r="I109" s="3">
        <f>IF(FinanceTable[[#This Row],[Budget]]=0,0,FinanceTable[[#This Row],[Variance]]/FinanceTable[[#This Row],[Budget]])</f>
        <v>-3.302458926011681E-2</v>
      </c>
      <c r="J109" s="4"/>
      <c r="K109" t="s">
        <v>21</v>
      </c>
      <c r="L109" t="s">
        <v>22</v>
      </c>
      <c r="M10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920.79750000000001</v>
      </c>
      <c r="N10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0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0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41</v>
      </c>
    </row>
    <row r="110" spans="1:16" ht="60.75">
      <c r="A110" s="1" t="s">
        <v>40</v>
      </c>
      <c r="B110" t="s">
        <v>17</v>
      </c>
      <c r="C110" t="s">
        <v>79</v>
      </c>
      <c r="D110" t="s">
        <v>80</v>
      </c>
      <c r="E110" s="4" t="s">
        <v>257</v>
      </c>
      <c r="F110" s="2">
        <v>11087.68</v>
      </c>
      <c r="G110" s="2">
        <v>54436.41</v>
      </c>
      <c r="H110" s="2">
        <f>FinanceTable[[#This Row],[Actual]]-FinanceTable[[#This Row],[Budget]]</f>
        <v>43348.73</v>
      </c>
      <c r="I110" s="3">
        <f>IF(FinanceTable[[#This Row],[Budget]]=0,0,FinanceTable[[#This Row],[Variance]]/FinanceTable[[#This Row],[Budget]])</f>
        <v>3.9096303284366072</v>
      </c>
      <c r="J110" s="4" t="s">
        <v>258</v>
      </c>
      <c r="K110" t="s">
        <v>38</v>
      </c>
      <c r="L110" t="s">
        <v>39</v>
      </c>
      <c r="M11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23135.474249999999</v>
      </c>
      <c r="N11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22</v>
      </c>
    </row>
    <row r="111" spans="1:16" ht="60.75">
      <c r="A111" s="1" t="s">
        <v>54</v>
      </c>
      <c r="B111" t="s">
        <v>24</v>
      </c>
      <c r="C111" t="s">
        <v>30</v>
      </c>
      <c r="D111" t="s">
        <v>72</v>
      </c>
      <c r="E111" s="4" t="s">
        <v>259</v>
      </c>
      <c r="F111" s="2">
        <v>180246.21</v>
      </c>
      <c r="G111" s="2">
        <v>209817.89</v>
      </c>
      <c r="H111" s="2">
        <f>FinanceTable[[#This Row],[Actual]]-FinanceTable[[#This Row],[Budget]]</f>
        <v>29571.680000000022</v>
      </c>
      <c r="I111" s="3">
        <f>IF(FinanceTable[[#This Row],[Budget]]=0,0,FinanceTable[[#This Row],[Variance]]/FinanceTable[[#This Row],[Budget]])</f>
        <v>0.16406270068036394</v>
      </c>
      <c r="J111" s="4" t="s">
        <v>260</v>
      </c>
      <c r="K111" t="s">
        <v>45</v>
      </c>
      <c r="L111" t="s">
        <v>46</v>
      </c>
      <c r="M11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209817.89</v>
      </c>
      <c r="N11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12" spans="1:16" ht="60.75">
      <c r="A112" s="1" t="s">
        <v>54</v>
      </c>
      <c r="B112" t="s">
        <v>34</v>
      </c>
      <c r="C112" t="s">
        <v>35</v>
      </c>
      <c r="E112" s="4" t="s">
        <v>164</v>
      </c>
      <c r="F112" s="2">
        <v>5264.61</v>
      </c>
      <c r="G112" s="2">
        <v>6403.3</v>
      </c>
      <c r="H112" s="2">
        <f>FinanceTable[[#This Row],[Actual]]-FinanceTable[[#This Row],[Budget]]</f>
        <v>1138.6900000000005</v>
      </c>
      <c r="I112" s="3">
        <f>IF(FinanceTable[[#This Row],[Budget]]=0,0,FinanceTable[[#This Row],[Variance]]/FinanceTable[[#This Row],[Budget]])</f>
        <v>0.21629142519578859</v>
      </c>
      <c r="J112" s="4" t="s">
        <v>133</v>
      </c>
      <c r="K112" t="s">
        <v>38</v>
      </c>
      <c r="L112" t="s">
        <v>22</v>
      </c>
      <c r="M11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3809.9634999999994</v>
      </c>
      <c r="N11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15</v>
      </c>
    </row>
    <row r="113" spans="1:16" ht="76.5">
      <c r="A113" s="1" t="s">
        <v>51</v>
      </c>
      <c r="B113" t="s">
        <v>24</v>
      </c>
      <c r="C113" t="s">
        <v>99</v>
      </c>
      <c r="D113" t="s">
        <v>166</v>
      </c>
      <c r="E113" s="4" t="s">
        <v>250</v>
      </c>
      <c r="F113" s="2">
        <v>35450.67</v>
      </c>
      <c r="G113" s="2">
        <v>45780.45</v>
      </c>
      <c r="H113" s="2">
        <f>FinanceTable[[#This Row],[Actual]]-FinanceTable[[#This Row],[Budget]]</f>
        <v>10329.779999999999</v>
      </c>
      <c r="I113" s="3">
        <f>IF(FinanceTable[[#This Row],[Budget]]=0,0,FinanceTable[[#This Row],[Variance]]/FinanceTable[[#This Row],[Budget]])</f>
        <v>0.29138461981113473</v>
      </c>
      <c r="J113" s="4" t="s">
        <v>261</v>
      </c>
      <c r="K113" t="s">
        <v>21</v>
      </c>
      <c r="L113" t="s">
        <v>46</v>
      </c>
      <c r="M11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34335.337499999994</v>
      </c>
      <c r="N11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35</v>
      </c>
    </row>
    <row r="114" spans="1:16" ht="60.75">
      <c r="A114" s="1" t="s">
        <v>93</v>
      </c>
      <c r="B114" t="s">
        <v>17</v>
      </c>
      <c r="C114" t="s">
        <v>35</v>
      </c>
      <c r="D114" t="s">
        <v>75</v>
      </c>
      <c r="E114" s="4" t="s">
        <v>262</v>
      </c>
      <c r="F114" s="2">
        <v>6477</v>
      </c>
      <c r="G114" s="2">
        <v>6064.24</v>
      </c>
      <c r="H114" s="2">
        <f>FinanceTable[[#This Row],[Actual]]-FinanceTable[[#This Row],[Budget]]</f>
        <v>-412.76000000000022</v>
      </c>
      <c r="I114" s="3">
        <f>IF(FinanceTable[[#This Row],[Budget]]=0,0,FinanceTable[[#This Row],[Variance]]/FinanceTable[[#This Row],[Budget]])</f>
        <v>-6.3727034120734938E-2</v>
      </c>
      <c r="J114" s="4" t="s">
        <v>263</v>
      </c>
      <c r="K114" t="s">
        <v>45</v>
      </c>
      <c r="L114" t="s">
        <v>46</v>
      </c>
      <c r="M11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6064.24</v>
      </c>
      <c r="N11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15" spans="1:16" ht="60.75">
      <c r="A115" s="1" t="s">
        <v>40</v>
      </c>
      <c r="B115" t="s">
        <v>34</v>
      </c>
      <c r="C115" t="s">
        <v>35</v>
      </c>
      <c r="D115" t="s">
        <v>163</v>
      </c>
      <c r="E115" s="4" t="s">
        <v>264</v>
      </c>
      <c r="F115" s="2">
        <v>5531.43</v>
      </c>
      <c r="G115" s="2">
        <v>5849.49</v>
      </c>
      <c r="H115" s="2">
        <f>FinanceTable[[#This Row],[Actual]]-FinanceTable[[#This Row],[Budget]]</f>
        <v>318.05999999999949</v>
      </c>
      <c r="I115" s="3">
        <f>IF(FinanceTable[[#This Row],[Budget]]=0,0,FinanceTable[[#This Row],[Variance]]/FinanceTable[[#This Row],[Budget]])</f>
        <v>5.7500501678589347E-2</v>
      </c>
      <c r="J115" s="4" t="s">
        <v>152</v>
      </c>
      <c r="K115" t="s">
        <v>45</v>
      </c>
      <c r="L115" t="s">
        <v>46</v>
      </c>
      <c r="M11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5849.49</v>
      </c>
      <c r="N11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16" spans="1:16" ht="76.5">
      <c r="A116" s="1" t="s">
        <v>93</v>
      </c>
      <c r="B116" t="s">
        <v>59</v>
      </c>
      <c r="C116" t="s">
        <v>99</v>
      </c>
      <c r="D116" t="s">
        <v>265</v>
      </c>
      <c r="E116" s="4" t="s">
        <v>242</v>
      </c>
      <c r="F116" s="2">
        <v>7620.96</v>
      </c>
      <c r="G116" s="2">
        <v>8495.1</v>
      </c>
      <c r="H116" s="2">
        <f>FinanceTable[[#This Row],[Actual]]-FinanceTable[[#This Row],[Budget]]</f>
        <v>874.14000000000033</v>
      </c>
      <c r="I116" s="3">
        <f>IF(FinanceTable[[#This Row],[Budget]]=0,0,FinanceTable[[#This Row],[Variance]]/FinanceTable[[#This Row],[Budget]])</f>
        <v>0.11470208477672109</v>
      </c>
      <c r="J116" s="4" t="s">
        <v>231</v>
      </c>
      <c r="K116" t="s">
        <v>45</v>
      </c>
      <c r="L116" t="s">
        <v>46</v>
      </c>
      <c r="M11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8495.1</v>
      </c>
      <c r="N11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17" spans="1:16" ht="60.75">
      <c r="A117" s="1" t="s">
        <v>93</v>
      </c>
      <c r="B117" t="s">
        <v>29</v>
      </c>
      <c r="C117" t="s">
        <v>41</v>
      </c>
      <c r="D117" t="s">
        <v>192</v>
      </c>
      <c r="E117" s="4" t="s">
        <v>187</v>
      </c>
      <c r="F117" s="2">
        <v>3973.99</v>
      </c>
      <c r="G117" s="2">
        <v>4003.92</v>
      </c>
      <c r="H117" s="2">
        <f>FinanceTable[[#This Row],[Actual]]-FinanceTable[[#This Row],[Budget]]</f>
        <v>29.930000000000291</v>
      </c>
      <c r="I117" s="3">
        <f>IF(FinanceTable[[#This Row],[Budget]]=0,0,FinanceTable[[#This Row],[Variance]]/FinanceTable[[#This Row],[Budget]])</f>
        <v>7.5314734058214271E-3</v>
      </c>
      <c r="J117" s="4" t="s">
        <v>246</v>
      </c>
      <c r="K117" t="s">
        <v>45</v>
      </c>
      <c r="L117" t="s">
        <v>46</v>
      </c>
      <c r="M11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4003.92</v>
      </c>
      <c r="N11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18" spans="1:16" ht="60.75">
      <c r="A118" s="1" t="s">
        <v>40</v>
      </c>
      <c r="B118" t="s">
        <v>59</v>
      </c>
      <c r="C118" t="s">
        <v>79</v>
      </c>
      <c r="D118" t="s">
        <v>208</v>
      </c>
      <c r="E118" s="4" t="s">
        <v>81</v>
      </c>
      <c r="F118" s="2">
        <v>4533.4399999999996</v>
      </c>
      <c r="G118" s="2">
        <v>5204.8900000000003</v>
      </c>
      <c r="H118" s="2">
        <f>FinanceTable[[#This Row],[Actual]]-FinanceTable[[#This Row],[Budget]]</f>
        <v>671.45000000000073</v>
      </c>
      <c r="I118" s="3">
        <f>IF(FinanceTable[[#This Row],[Budget]]=0,0,FinanceTable[[#This Row],[Variance]]/FinanceTable[[#This Row],[Budget]])</f>
        <v>0.14811048563563228</v>
      </c>
      <c r="J118" s="4" t="s">
        <v>258</v>
      </c>
      <c r="K118" t="s">
        <v>45</v>
      </c>
      <c r="L118" t="s">
        <v>46</v>
      </c>
      <c r="M11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5204.8900000000003</v>
      </c>
      <c r="N11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19" spans="1:16" ht="76.5">
      <c r="A119" s="1" t="s">
        <v>33</v>
      </c>
      <c r="B119" t="s">
        <v>24</v>
      </c>
      <c r="C119" t="s">
        <v>99</v>
      </c>
      <c r="D119" t="s">
        <v>166</v>
      </c>
      <c r="E119" s="4" t="s">
        <v>250</v>
      </c>
      <c r="F119" s="2">
        <v>35469.410000000003</v>
      </c>
      <c r="G119" s="2">
        <v>49093.69</v>
      </c>
      <c r="H119" s="2">
        <f>FinanceTable[[#This Row],[Actual]]-FinanceTable[[#This Row],[Budget]]</f>
        <v>13624.279999999999</v>
      </c>
      <c r="I119" s="3">
        <f>IF(FinanceTable[[#This Row],[Budget]]=0,0,FinanceTable[[#This Row],[Variance]]/FinanceTable[[#This Row],[Budget]])</f>
        <v>0.38411352204617999</v>
      </c>
      <c r="J119" s="4" t="s">
        <v>266</v>
      </c>
      <c r="K119" t="s">
        <v>38</v>
      </c>
      <c r="L119" t="s">
        <v>46</v>
      </c>
      <c r="M11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41729.636500000001</v>
      </c>
      <c r="N11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1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1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12</v>
      </c>
    </row>
    <row r="120" spans="1:16" ht="60.75">
      <c r="A120" s="1" t="s">
        <v>47</v>
      </c>
      <c r="B120" t="s">
        <v>34</v>
      </c>
      <c r="C120" t="s">
        <v>30</v>
      </c>
      <c r="D120" t="s">
        <v>212</v>
      </c>
      <c r="E120" s="4" t="s">
        <v>267</v>
      </c>
      <c r="F120" s="2">
        <v>91524.15</v>
      </c>
      <c r="G120" s="2">
        <v>95774.68</v>
      </c>
      <c r="H120" s="2">
        <f>FinanceTable[[#This Row],[Actual]]-FinanceTable[[#This Row],[Budget]]</f>
        <v>4250.5299999999988</v>
      </c>
      <c r="I120" s="3">
        <f>IF(FinanceTable[[#This Row],[Budget]]=0,0,FinanceTable[[#This Row],[Variance]]/FinanceTable[[#This Row],[Budget]])</f>
        <v>4.6441622238502067E-2</v>
      </c>
      <c r="J120" s="4" t="s">
        <v>268</v>
      </c>
      <c r="K120" t="s">
        <v>45</v>
      </c>
      <c r="L120" t="s">
        <v>46</v>
      </c>
      <c r="M12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95774.68</v>
      </c>
      <c r="N12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21" spans="1:16" ht="60.75">
      <c r="A121" s="1" t="s">
        <v>47</v>
      </c>
      <c r="B121" t="s">
        <v>24</v>
      </c>
      <c r="C121" t="s">
        <v>83</v>
      </c>
      <c r="D121" t="s">
        <v>84</v>
      </c>
      <c r="E121" s="4" t="s">
        <v>121</v>
      </c>
      <c r="F121" s="2">
        <v>1555.46</v>
      </c>
      <c r="G121" s="2">
        <v>1597.47</v>
      </c>
      <c r="H121" s="2">
        <f>FinanceTable[[#This Row],[Actual]]-FinanceTable[[#This Row],[Budget]]</f>
        <v>42.009999999999991</v>
      </c>
      <c r="I121" s="3">
        <f>IF(FinanceTable[[#This Row],[Budget]]=0,0,FinanceTable[[#This Row],[Variance]]/FinanceTable[[#This Row],[Budget]])</f>
        <v>2.7008087639669286E-2</v>
      </c>
      <c r="J121" s="4" t="s">
        <v>269</v>
      </c>
      <c r="K121" t="s">
        <v>45</v>
      </c>
      <c r="L121" t="s">
        <v>46</v>
      </c>
      <c r="M12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1597.47</v>
      </c>
      <c r="N12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22" spans="1:16" ht="60.75">
      <c r="A122" s="1" t="s">
        <v>54</v>
      </c>
      <c r="B122" t="s">
        <v>59</v>
      </c>
      <c r="C122" t="s">
        <v>18</v>
      </c>
      <c r="D122" t="s">
        <v>19</v>
      </c>
      <c r="E122" s="4" t="s">
        <v>270</v>
      </c>
      <c r="F122" s="2">
        <v>7956.76</v>
      </c>
      <c r="G122" s="2">
        <v>9349.36</v>
      </c>
      <c r="H122" s="2">
        <f>FinanceTable[[#This Row],[Actual]]-FinanceTable[[#This Row],[Budget]]</f>
        <v>1392.6000000000004</v>
      </c>
      <c r="I122" s="3">
        <f>IF(FinanceTable[[#This Row],[Budget]]=0,0,FinanceTable[[#This Row],[Variance]]/FinanceTable[[#This Row],[Budget]])</f>
        <v>0.17502098844253192</v>
      </c>
      <c r="J122" s="4" t="s">
        <v>179</v>
      </c>
      <c r="K122" t="s">
        <v>45</v>
      </c>
      <c r="L122" t="s">
        <v>46</v>
      </c>
      <c r="M12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9349.36</v>
      </c>
      <c r="N12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23" spans="1:16" ht="60.75">
      <c r="A123" s="1" t="s">
        <v>16</v>
      </c>
      <c r="B123" t="s">
        <v>103</v>
      </c>
      <c r="C123" t="s">
        <v>18</v>
      </c>
      <c r="D123" t="s">
        <v>72</v>
      </c>
      <c r="E123" s="4" t="s">
        <v>271</v>
      </c>
      <c r="F123" s="2">
        <v>5857.72</v>
      </c>
      <c r="G123" s="2">
        <v>5983.1</v>
      </c>
      <c r="H123" s="2">
        <f>FinanceTable[[#This Row],[Actual]]-FinanceTable[[#This Row],[Budget]]</f>
        <v>125.38000000000011</v>
      </c>
      <c r="I123" s="3">
        <f>IF(FinanceTable[[#This Row],[Budget]]=0,0,FinanceTable[[#This Row],[Variance]]/FinanceTable[[#This Row],[Budget]])</f>
        <v>2.1404232363445179E-2</v>
      </c>
      <c r="J123" s="4" t="s">
        <v>214</v>
      </c>
      <c r="K123" t="s">
        <v>45</v>
      </c>
      <c r="L123" t="s">
        <v>46</v>
      </c>
      <c r="M12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5983.1</v>
      </c>
      <c r="N12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24" spans="1:16" ht="60.75">
      <c r="A124" s="1" t="s">
        <v>40</v>
      </c>
      <c r="B124" t="s">
        <v>29</v>
      </c>
      <c r="C124" t="s">
        <v>55</v>
      </c>
      <c r="D124" t="s">
        <v>272</v>
      </c>
      <c r="E124" s="4" t="s">
        <v>273</v>
      </c>
      <c r="F124" s="2">
        <v>66097.94</v>
      </c>
      <c r="G124" s="2">
        <v>75169.440000000002</v>
      </c>
      <c r="H124" s="2">
        <f>FinanceTable[[#This Row],[Actual]]-FinanceTable[[#This Row],[Budget]]</f>
        <v>9071.5</v>
      </c>
      <c r="I124" s="3">
        <f>IF(FinanceTable[[#This Row],[Budget]]=0,0,FinanceTable[[#This Row],[Variance]]/FinanceTable[[#This Row],[Budget]])</f>
        <v>0.1372433089442727</v>
      </c>
      <c r="J124" s="4" t="s">
        <v>274</v>
      </c>
      <c r="K124" t="s">
        <v>45</v>
      </c>
      <c r="L124" t="s">
        <v>46</v>
      </c>
      <c r="M12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75169.440000000002</v>
      </c>
      <c r="N12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25" spans="1:16" ht="60.75">
      <c r="A125" s="1" t="s">
        <v>16</v>
      </c>
      <c r="B125" t="s">
        <v>34</v>
      </c>
      <c r="C125" t="s">
        <v>18</v>
      </c>
      <c r="D125" t="s">
        <v>19</v>
      </c>
      <c r="E125" s="4" t="s">
        <v>275</v>
      </c>
      <c r="F125" s="2">
        <v>9624.14</v>
      </c>
      <c r="G125" s="2">
        <v>14824.13</v>
      </c>
      <c r="H125" s="2">
        <f>FinanceTable[[#This Row],[Actual]]-FinanceTable[[#This Row],[Budget]]</f>
        <v>5199.99</v>
      </c>
      <c r="I125" s="3">
        <f>IF(FinanceTable[[#This Row],[Budget]]=0,0,FinanceTable[[#This Row],[Variance]]/FinanceTable[[#This Row],[Budget]])</f>
        <v>0.54030697807804129</v>
      </c>
      <c r="J125" s="4" t="s">
        <v>214</v>
      </c>
      <c r="K125" t="s">
        <v>38</v>
      </c>
      <c r="L125" t="s">
        <v>46</v>
      </c>
      <c r="M12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12600.510499999999</v>
      </c>
      <c r="N12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18</v>
      </c>
    </row>
    <row r="126" spans="1:16" ht="60.75">
      <c r="A126" s="1" t="s">
        <v>28</v>
      </c>
      <c r="B126" t="s">
        <v>24</v>
      </c>
      <c r="C126" t="s">
        <v>30</v>
      </c>
      <c r="D126" t="s">
        <v>31</v>
      </c>
      <c r="E126" s="4" t="s">
        <v>276</v>
      </c>
      <c r="F126" s="2">
        <v>166700.72</v>
      </c>
      <c r="G126" s="2">
        <v>158494.48000000001</v>
      </c>
      <c r="H126" s="2">
        <f>FinanceTable[[#This Row],[Actual]]-FinanceTable[[#This Row],[Budget]]</f>
        <v>-8206.2399999999907</v>
      </c>
      <c r="I126" s="3">
        <f>IF(FinanceTable[[#This Row],[Budget]]=0,0,FinanceTable[[#This Row],[Variance]]/FinanceTable[[#This Row],[Budget]])</f>
        <v>-4.9227381861338036E-2</v>
      </c>
      <c r="J126" s="4" t="s">
        <v>277</v>
      </c>
      <c r="K126" t="s">
        <v>45</v>
      </c>
      <c r="L126" t="s">
        <v>46</v>
      </c>
      <c r="M12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158494.48000000001</v>
      </c>
      <c r="N12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27" spans="1:16" ht="60.75">
      <c r="A127" s="1" t="s">
        <v>40</v>
      </c>
      <c r="B127" t="s">
        <v>34</v>
      </c>
      <c r="C127" t="s">
        <v>18</v>
      </c>
      <c r="E127" s="4" t="s">
        <v>123</v>
      </c>
      <c r="F127" s="2">
        <v>9874.5499999999993</v>
      </c>
      <c r="G127" s="2">
        <v>7314.26</v>
      </c>
      <c r="H127" s="2">
        <f>FinanceTable[[#This Row],[Actual]]-FinanceTable[[#This Row],[Budget]]</f>
        <v>-2560.2899999999991</v>
      </c>
      <c r="I127" s="3">
        <f>IF(FinanceTable[[#This Row],[Budget]]=0,0,FinanceTable[[#This Row],[Variance]]/FinanceTable[[#This Row],[Budget]])</f>
        <v>-0.25928168878581803</v>
      </c>
      <c r="J127" s="4" t="s">
        <v>278</v>
      </c>
      <c r="K127" t="s">
        <v>38</v>
      </c>
      <c r="L127" t="s">
        <v>22</v>
      </c>
      <c r="M12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4351.9847</v>
      </c>
      <c r="N12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30</v>
      </c>
    </row>
    <row r="128" spans="1:16" ht="60.75">
      <c r="A128" s="1" t="s">
        <v>110</v>
      </c>
      <c r="B128" t="s">
        <v>17</v>
      </c>
      <c r="C128" t="s">
        <v>67</v>
      </c>
      <c r="E128" s="4" t="s">
        <v>279</v>
      </c>
      <c r="F128" s="2">
        <v>78187.320000000007</v>
      </c>
      <c r="G128" s="2">
        <v>91063.05</v>
      </c>
      <c r="H128" s="2">
        <f>FinanceTable[[#This Row],[Actual]]-FinanceTable[[#This Row],[Budget]]</f>
        <v>12875.729999999996</v>
      </c>
      <c r="I128" s="3">
        <f>IF(FinanceTable[[#This Row],[Budget]]=0,0,FinanceTable[[#This Row],[Variance]]/FinanceTable[[#This Row],[Budget]])</f>
        <v>0.16467798103324163</v>
      </c>
      <c r="J128" s="4" t="s">
        <v>280</v>
      </c>
      <c r="K128" t="s">
        <v>38</v>
      </c>
      <c r="L128" t="s">
        <v>22</v>
      </c>
      <c r="M12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54182.514749999995</v>
      </c>
      <c r="N12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15</v>
      </c>
    </row>
    <row r="129" spans="1:16" ht="60.75">
      <c r="A129" s="1" t="s">
        <v>40</v>
      </c>
      <c r="B129" t="s">
        <v>24</v>
      </c>
      <c r="C129" t="s">
        <v>83</v>
      </c>
      <c r="D129" t="s">
        <v>227</v>
      </c>
      <c r="E129" s="4" t="s">
        <v>121</v>
      </c>
      <c r="F129" s="2">
        <v>7369.16</v>
      </c>
      <c r="G129" s="2">
        <v>9587.86</v>
      </c>
      <c r="H129" s="2">
        <f>FinanceTable[[#This Row],[Actual]]-FinanceTable[[#This Row],[Budget]]</f>
        <v>2218.7000000000007</v>
      </c>
      <c r="I129" s="3">
        <f>IF(FinanceTable[[#This Row],[Budget]]=0,0,FinanceTable[[#This Row],[Variance]]/FinanceTable[[#This Row],[Budget]])</f>
        <v>0.30107909178250991</v>
      </c>
      <c r="J129" s="4" t="s">
        <v>281</v>
      </c>
      <c r="K129" t="s">
        <v>45</v>
      </c>
      <c r="L129" t="s">
        <v>46</v>
      </c>
      <c r="M12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9587.86</v>
      </c>
      <c r="N12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2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2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30" spans="1:16" ht="60.75">
      <c r="A130" s="1" t="s">
        <v>110</v>
      </c>
      <c r="B130" t="s">
        <v>29</v>
      </c>
      <c r="C130" t="s">
        <v>79</v>
      </c>
      <c r="D130" t="s">
        <v>80</v>
      </c>
      <c r="E130" s="4" t="s">
        <v>159</v>
      </c>
      <c r="F130" s="2">
        <v>10114.879999999999</v>
      </c>
      <c r="G130" s="2">
        <v>11535.5</v>
      </c>
      <c r="H130" s="2">
        <f>FinanceTable[[#This Row],[Actual]]-FinanceTable[[#This Row],[Budget]]</f>
        <v>1420.6200000000008</v>
      </c>
      <c r="I130" s="3">
        <f>IF(FinanceTable[[#This Row],[Budget]]=0,0,FinanceTable[[#This Row],[Variance]]/FinanceTable[[#This Row],[Budget]])</f>
        <v>0.14044852731816895</v>
      </c>
      <c r="J130" s="4" t="s">
        <v>244</v>
      </c>
      <c r="K130" t="s">
        <v>45</v>
      </c>
      <c r="L130" t="s">
        <v>46</v>
      </c>
      <c r="M13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11535.5</v>
      </c>
      <c r="N13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31" spans="1:16" ht="30.75">
      <c r="A131" s="1" t="s">
        <v>28</v>
      </c>
      <c r="B131" t="s">
        <v>17</v>
      </c>
      <c r="C131" t="s">
        <v>55</v>
      </c>
      <c r="D131" t="s">
        <v>56</v>
      </c>
      <c r="E131" s="4" t="s">
        <v>282</v>
      </c>
      <c r="F131" s="2">
        <v>39668.97</v>
      </c>
      <c r="G131" s="2">
        <v>47042.3</v>
      </c>
      <c r="H131" s="2">
        <f>FinanceTable[[#This Row],[Actual]]-FinanceTable[[#This Row],[Budget]]</f>
        <v>7373.3300000000017</v>
      </c>
      <c r="I131" s="3">
        <f>IF(FinanceTable[[#This Row],[Budget]]=0,0,FinanceTable[[#This Row],[Variance]]/FinanceTable[[#This Row],[Budget]])</f>
        <v>0.1858714758664014</v>
      </c>
      <c r="J131" s="4"/>
      <c r="K131" t="s">
        <v>45</v>
      </c>
      <c r="L131" t="s">
        <v>46</v>
      </c>
      <c r="M13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47042.3</v>
      </c>
      <c r="N13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32" spans="1:16" ht="60.75">
      <c r="A132" s="1" t="s">
        <v>47</v>
      </c>
      <c r="B132" t="s">
        <v>103</v>
      </c>
      <c r="C132" t="s">
        <v>79</v>
      </c>
      <c r="D132" t="s">
        <v>158</v>
      </c>
      <c r="E132" s="4" t="s">
        <v>283</v>
      </c>
      <c r="F132" s="2">
        <v>7194.06</v>
      </c>
      <c r="G132" s="2">
        <v>7006.95</v>
      </c>
      <c r="H132" s="2">
        <f>FinanceTable[[#This Row],[Actual]]-FinanceTable[[#This Row],[Budget]]</f>
        <v>-187.11000000000058</v>
      </c>
      <c r="I132" s="3">
        <f>IF(FinanceTable[[#This Row],[Budget]]=0,0,FinanceTable[[#This Row],[Variance]]/FinanceTable[[#This Row],[Budget]])</f>
        <v>-2.6008957389846703E-2</v>
      </c>
      <c r="J132" s="4" t="s">
        <v>175</v>
      </c>
      <c r="K132" t="s">
        <v>45</v>
      </c>
      <c r="L132" t="s">
        <v>46</v>
      </c>
      <c r="M13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7006.95</v>
      </c>
      <c r="N13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33" spans="1:16" ht="60.75">
      <c r="A133" s="1" t="s">
        <v>78</v>
      </c>
      <c r="B133" t="s">
        <v>24</v>
      </c>
      <c r="C133" t="s">
        <v>55</v>
      </c>
      <c r="D133" t="s">
        <v>111</v>
      </c>
      <c r="E133" s="4" t="s">
        <v>284</v>
      </c>
      <c r="F133" s="2">
        <v>35229.72</v>
      </c>
      <c r="G133" s="2">
        <v>35909.360000000001</v>
      </c>
      <c r="H133" s="2">
        <f>FinanceTable[[#This Row],[Actual]]-FinanceTable[[#This Row],[Budget]]</f>
        <v>679.63999999999942</v>
      </c>
      <c r="I133" s="3">
        <f>IF(FinanceTable[[#This Row],[Budget]]=0,0,FinanceTable[[#This Row],[Variance]]/FinanceTable[[#This Row],[Budget]])</f>
        <v>1.9291666240889776E-2</v>
      </c>
      <c r="J133" s="4" t="s">
        <v>285</v>
      </c>
      <c r="K133" t="s">
        <v>45</v>
      </c>
      <c r="L133" t="s">
        <v>46</v>
      </c>
      <c r="M13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35909.360000000001</v>
      </c>
      <c r="N13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34" spans="1:16" ht="60.75">
      <c r="A134" s="1" t="s">
        <v>33</v>
      </c>
      <c r="B134" t="s">
        <v>59</v>
      </c>
      <c r="C134" t="s">
        <v>35</v>
      </c>
      <c r="E134" s="4" t="s">
        <v>286</v>
      </c>
      <c r="F134" s="2">
        <v>4902.7299999999996</v>
      </c>
      <c r="G134" s="2">
        <v>29520.959999999999</v>
      </c>
      <c r="H134" s="2">
        <f>FinanceTable[[#This Row],[Actual]]-FinanceTable[[#This Row],[Budget]]</f>
        <v>24618.23</v>
      </c>
      <c r="I134" s="3">
        <f>IF(FinanceTable[[#This Row],[Budget]]=0,0,FinanceTable[[#This Row],[Variance]]/FinanceTable[[#This Row],[Budget]])</f>
        <v>5.0213309727437574</v>
      </c>
      <c r="J134" s="4" t="s">
        <v>287</v>
      </c>
      <c r="K134" t="s">
        <v>38</v>
      </c>
      <c r="L134" t="s">
        <v>39</v>
      </c>
      <c r="M13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12546.407999999999</v>
      </c>
      <c r="N13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14</v>
      </c>
    </row>
    <row r="135" spans="1:16" ht="76.5">
      <c r="A135" s="1" t="s">
        <v>28</v>
      </c>
      <c r="B135" t="s">
        <v>34</v>
      </c>
      <c r="C135" t="s">
        <v>25</v>
      </c>
      <c r="D135" t="s">
        <v>195</v>
      </c>
      <c r="E135" s="4" t="s">
        <v>288</v>
      </c>
      <c r="F135" s="2">
        <v>14456.26</v>
      </c>
      <c r="G135" s="2">
        <v>16238.15</v>
      </c>
      <c r="H135" s="2">
        <f>FinanceTable[[#This Row],[Actual]]-FinanceTable[[#This Row],[Budget]]</f>
        <v>1781.8899999999994</v>
      </c>
      <c r="I135" s="3">
        <f>IF(FinanceTable[[#This Row],[Budget]]=0,0,FinanceTable[[#This Row],[Variance]]/FinanceTable[[#This Row],[Budget]])</f>
        <v>0.12326078805998228</v>
      </c>
      <c r="J135" s="4" t="s">
        <v>173</v>
      </c>
      <c r="K135" t="s">
        <v>45</v>
      </c>
      <c r="L135" t="s">
        <v>46</v>
      </c>
      <c r="M13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16238.15</v>
      </c>
      <c r="N135" s="2">
        <f>IF(FinanceTable[[#This Row],[Account]]="Advertising",IFERROR(FinanceTable[[#This Row],[Actual]]/(MAX(1,SUMIFS(FinanceTable[Actual],FinanceTable[Month],FinanceTable[[#This Row],[Month]],FinanceTable[Account],"Revenue")/1000)),""),"")</f>
        <v>37.319163857125879</v>
      </c>
      <c r="O135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13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36" spans="1:16" ht="60.75">
      <c r="A136" s="1" t="s">
        <v>71</v>
      </c>
      <c r="B136" t="s">
        <v>34</v>
      </c>
      <c r="C136" t="s">
        <v>55</v>
      </c>
      <c r="D136" t="s">
        <v>289</v>
      </c>
      <c r="E136" s="4" t="s">
        <v>201</v>
      </c>
      <c r="F136" s="2">
        <v>20419.52</v>
      </c>
      <c r="G136" s="2">
        <v>18121.09</v>
      </c>
      <c r="H136" s="2">
        <f>FinanceTable[[#This Row],[Actual]]-FinanceTable[[#This Row],[Budget]]</f>
        <v>-2298.4300000000003</v>
      </c>
      <c r="I136" s="3">
        <f>IF(FinanceTable[[#This Row],[Budget]]=0,0,FinanceTable[[#This Row],[Variance]]/FinanceTable[[#This Row],[Budget]])</f>
        <v>-0.11256043237059442</v>
      </c>
      <c r="J136" s="4" t="s">
        <v>290</v>
      </c>
      <c r="K136" t="s">
        <v>45</v>
      </c>
      <c r="L136" t="s">
        <v>46</v>
      </c>
      <c r="M13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18121.09</v>
      </c>
      <c r="N13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37" spans="1:16" ht="60.75">
      <c r="A137" s="1" t="s">
        <v>28</v>
      </c>
      <c r="B137" t="s">
        <v>29</v>
      </c>
      <c r="C137" t="s">
        <v>30</v>
      </c>
      <c r="D137" t="s">
        <v>114</v>
      </c>
      <c r="E137" s="4" t="s">
        <v>291</v>
      </c>
      <c r="F137" s="2">
        <v>94518.97</v>
      </c>
      <c r="G137" s="2">
        <v>98860.22</v>
      </c>
      <c r="H137" s="2">
        <f>FinanceTable[[#This Row],[Actual]]-FinanceTable[[#This Row],[Budget]]</f>
        <v>4341.25</v>
      </c>
      <c r="I137" s="3">
        <f>IF(FinanceTable[[#This Row],[Budget]]=0,0,FinanceTable[[#This Row],[Variance]]/FinanceTable[[#This Row],[Budget]])</f>
        <v>4.5929933430294466E-2</v>
      </c>
      <c r="J137" s="4" t="s">
        <v>277</v>
      </c>
      <c r="K137" t="s">
        <v>45</v>
      </c>
      <c r="L137" t="s">
        <v>46</v>
      </c>
      <c r="M13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98860.22</v>
      </c>
      <c r="N13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38" spans="1:16" ht="60.75">
      <c r="A138" s="1" t="s">
        <v>93</v>
      </c>
      <c r="B138" t="s">
        <v>24</v>
      </c>
      <c r="C138" t="s">
        <v>35</v>
      </c>
      <c r="D138" t="s">
        <v>36</v>
      </c>
      <c r="E138" s="4" t="s">
        <v>76</v>
      </c>
      <c r="F138" s="2">
        <v>1147.0999999999999</v>
      </c>
      <c r="G138" s="2">
        <v>1010.59</v>
      </c>
      <c r="H138" s="2">
        <f>FinanceTable[[#This Row],[Actual]]-FinanceTable[[#This Row],[Budget]]</f>
        <v>-136.50999999999988</v>
      </c>
      <c r="I138" s="3">
        <f>IF(FinanceTable[[#This Row],[Budget]]=0,0,FinanceTable[[#This Row],[Variance]]/FinanceTable[[#This Row],[Budget]])</f>
        <v>-0.11900444599424627</v>
      </c>
      <c r="J138" s="4" t="s">
        <v>263</v>
      </c>
      <c r="K138" t="s">
        <v>45</v>
      </c>
      <c r="L138" t="s">
        <v>46</v>
      </c>
      <c r="M13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1010.59</v>
      </c>
      <c r="N13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39" spans="1:16" ht="60.75">
      <c r="A139" s="1" t="s">
        <v>93</v>
      </c>
      <c r="B139" t="s">
        <v>34</v>
      </c>
      <c r="C139" t="s">
        <v>55</v>
      </c>
      <c r="D139" t="s">
        <v>292</v>
      </c>
      <c r="E139" s="4" t="s">
        <v>293</v>
      </c>
      <c r="F139" s="2">
        <v>129214.24</v>
      </c>
      <c r="G139" s="2">
        <v>125604.77</v>
      </c>
      <c r="H139" s="2">
        <f>FinanceTable[[#This Row],[Actual]]-FinanceTable[[#This Row],[Budget]]</f>
        <v>-3609.4700000000012</v>
      </c>
      <c r="I139" s="3">
        <f>IF(FinanceTable[[#This Row],[Budget]]=0,0,FinanceTable[[#This Row],[Variance]]/FinanceTable[[#This Row],[Budget]])</f>
        <v>-2.7933995510092395E-2</v>
      </c>
      <c r="J139" s="4" t="s">
        <v>294</v>
      </c>
      <c r="K139" t="s">
        <v>45</v>
      </c>
      <c r="L139" t="s">
        <v>46</v>
      </c>
      <c r="M13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125604.77</v>
      </c>
      <c r="N13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3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3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40" spans="1:16" ht="60.75">
      <c r="A140" s="1" t="s">
        <v>51</v>
      </c>
      <c r="B140" t="s">
        <v>17</v>
      </c>
      <c r="C140" t="s">
        <v>67</v>
      </c>
      <c r="D140" t="s">
        <v>90</v>
      </c>
      <c r="E140" s="4" t="s">
        <v>295</v>
      </c>
      <c r="F140" s="2">
        <v>69430.490000000005</v>
      </c>
      <c r="G140" s="2">
        <v>63370.3</v>
      </c>
      <c r="H140" s="2">
        <f>FinanceTable[[#This Row],[Actual]]-FinanceTable[[#This Row],[Budget]]</f>
        <v>-6060.1900000000023</v>
      </c>
      <c r="I140" s="3">
        <f>IF(FinanceTable[[#This Row],[Budget]]=0,0,FinanceTable[[#This Row],[Variance]]/FinanceTable[[#This Row],[Budget]])</f>
        <v>-8.728427525140614E-2</v>
      </c>
      <c r="J140" s="4" t="s">
        <v>296</v>
      </c>
      <c r="K140" t="s">
        <v>45</v>
      </c>
      <c r="L140" t="s">
        <v>46</v>
      </c>
      <c r="M14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63370.3</v>
      </c>
      <c r="N14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41" spans="1:16" ht="76.5">
      <c r="A141" s="1" t="s">
        <v>47</v>
      </c>
      <c r="B141" t="s">
        <v>24</v>
      </c>
      <c r="C141" t="s">
        <v>25</v>
      </c>
      <c r="D141" t="s">
        <v>134</v>
      </c>
      <c r="E141" s="4" t="s">
        <v>297</v>
      </c>
      <c r="F141" s="2">
        <v>30850.01</v>
      </c>
      <c r="G141" s="2">
        <v>42973.47</v>
      </c>
      <c r="H141" s="2">
        <f>FinanceTable[[#This Row],[Actual]]-FinanceTable[[#This Row],[Budget]]</f>
        <v>12123.460000000003</v>
      </c>
      <c r="I141" s="3">
        <f>IF(FinanceTable[[#This Row],[Budget]]=0,0,FinanceTable[[#This Row],[Variance]]/FinanceTable[[#This Row],[Budget]])</f>
        <v>0.39298074781823422</v>
      </c>
      <c r="J141" s="4" t="s">
        <v>156</v>
      </c>
      <c r="K141" t="s">
        <v>38</v>
      </c>
      <c r="L141" t="s">
        <v>46</v>
      </c>
      <c r="M14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36527.449500000002</v>
      </c>
      <c r="N141" s="2">
        <f>IF(FinanceTable[[#This Row],[Account]]="Advertising",IFERROR(FinanceTable[[#This Row],[Actual]]/(MAX(1,SUMIFS(FinanceTable[Actual],FinanceTable[Month],FinanceTable[[#This Row],[Month]],FinanceTable[Account],"Revenue")/1000)),""),"")</f>
        <v>210.85772173503105</v>
      </c>
      <c r="O141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2.5138412141258315</v>
      </c>
      <c r="P14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18</v>
      </c>
    </row>
    <row r="142" spans="1:16" ht="60.75">
      <c r="A142" s="1" t="s">
        <v>71</v>
      </c>
      <c r="B142" t="s">
        <v>59</v>
      </c>
      <c r="C142" t="s">
        <v>62</v>
      </c>
      <c r="D142" t="s">
        <v>298</v>
      </c>
      <c r="E142" s="4" t="s">
        <v>199</v>
      </c>
      <c r="F142" s="2">
        <v>914.04</v>
      </c>
      <c r="G142" s="2">
        <v>957.56</v>
      </c>
      <c r="H142" s="2">
        <f>FinanceTable[[#This Row],[Actual]]-FinanceTable[[#This Row],[Budget]]</f>
        <v>43.519999999999982</v>
      </c>
      <c r="I142" s="3">
        <f>IF(FinanceTable[[#This Row],[Budget]]=0,0,FinanceTable[[#This Row],[Variance]]/FinanceTable[[#This Row],[Budget]])</f>
        <v>4.7612795938908561E-2</v>
      </c>
      <c r="J142" s="4" t="s">
        <v>299</v>
      </c>
      <c r="K142" t="s">
        <v>45</v>
      </c>
      <c r="L142" t="s">
        <v>46</v>
      </c>
      <c r="M14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957.56</v>
      </c>
      <c r="N14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43" spans="1:16" ht="60.75">
      <c r="A143" s="1" t="s">
        <v>23</v>
      </c>
      <c r="B143" t="s">
        <v>24</v>
      </c>
      <c r="C143" t="s">
        <v>83</v>
      </c>
      <c r="D143" t="s">
        <v>227</v>
      </c>
      <c r="E143" s="4" t="s">
        <v>300</v>
      </c>
      <c r="F143" s="2">
        <v>10903.58</v>
      </c>
      <c r="G143" s="2">
        <v>12292.12</v>
      </c>
      <c r="H143" s="2">
        <f>FinanceTable[[#This Row],[Actual]]-FinanceTable[[#This Row],[Budget]]</f>
        <v>1388.5400000000009</v>
      </c>
      <c r="I143" s="3">
        <f>IF(FinanceTable[[#This Row],[Budget]]=0,0,FinanceTable[[#This Row],[Variance]]/FinanceTable[[#This Row],[Budget]])</f>
        <v>0.12734716487612333</v>
      </c>
      <c r="J143" s="4" t="s">
        <v>86</v>
      </c>
      <c r="K143" t="s">
        <v>45</v>
      </c>
      <c r="L143" t="s">
        <v>46</v>
      </c>
      <c r="M14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12292.12</v>
      </c>
      <c r="N14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44" spans="1:16" ht="60.75">
      <c r="A144" s="1" t="s">
        <v>54</v>
      </c>
      <c r="B144" t="s">
        <v>103</v>
      </c>
      <c r="C144" t="s">
        <v>35</v>
      </c>
      <c r="D144" t="s">
        <v>36</v>
      </c>
      <c r="E144" s="4" t="s">
        <v>301</v>
      </c>
      <c r="F144" s="2">
        <v>885.08</v>
      </c>
      <c r="G144" s="2">
        <v>917.35</v>
      </c>
      <c r="H144" s="2">
        <f>FinanceTable[[#This Row],[Actual]]-FinanceTable[[#This Row],[Budget]]</f>
        <v>32.269999999999982</v>
      </c>
      <c r="I144" s="3">
        <f>IF(FinanceTable[[#This Row],[Budget]]=0,0,FinanceTable[[#This Row],[Variance]]/FinanceTable[[#This Row],[Budget]])</f>
        <v>3.6459981018664954E-2</v>
      </c>
      <c r="J144" s="4" t="s">
        <v>133</v>
      </c>
      <c r="K144" t="s">
        <v>45</v>
      </c>
      <c r="L144" t="s">
        <v>46</v>
      </c>
      <c r="M14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917.35</v>
      </c>
      <c r="N14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45" spans="1:16" ht="60.75">
      <c r="A145" s="1" t="s">
        <v>40</v>
      </c>
      <c r="B145" t="s">
        <v>59</v>
      </c>
      <c r="C145" t="s">
        <v>62</v>
      </c>
      <c r="D145" t="s">
        <v>198</v>
      </c>
      <c r="E145" s="4" t="s">
        <v>302</v>
      </c>
      <c r="F145" s="2">
        <v>4316.8500000000004</v>
      </c>
      <c r="G145" s="2">
        <v>3755.8</v>
      </c>
      <c r="H145" s="2">
        <f>FinanceTable[[#This Row],[Actual]]-FinanceTable[[#This Row],[Budget]]</f>
        <v>-561.05000000000018</v>
      </c>
      <c r="I145" s="3">
        <f>IF(FinanceTable[[#This Row],[Budget]]=0,0,FinanceTable[[#This Row],[Variance]]/FinanceTable[[#This Row],[Budget]])</f>
        <v>-0.12996745311975169</v>
      </c>
      <c r="J145" s="4" t="s">
        <v>65</v>
      </c>
      <c r="K145" t="s">
        <v>45</v>
      </c>
      <c r="L145" t="s">
        <v>46</v>
      </c>
      <c r="M14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3755.8</v>
      </c>
      <c r="N14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46" spans="1:16" ht="60.75">
      <c r="A146" s="1" t="s">
        <v>33</v>
      </c>
      <c r="B146" t="s">
        <v>103</v>
      </c>
      <c r="C146" t="s">
        <v>41</v>
      </c>
      <c r="D146" t="s">
        <v>192</v>
      </c>
      <c r="E146" s="4" t="s">
        <v>118</v>
      </c>
      <c r="F146" s="2">
        <v>4543.6099999999997</v>
      </c>
      <c r="G146" s="2">
        <v>4986.91</v>
      </c>
      <c r="H146" s="2">
        <f>FinanceTable[[#This Row],[Actual]]-FinanceTable[[#This Row],[Budget]]</f>
        <v>443.30000000000018</v>
      </c>
      <c r="I146" s="3">
        <f>IF(FinanceTable[[#This Row],[Budget]]=0,0,FinanceTable[[#This Row],[Variance]]/FinanceTable[[#This Row],[Budget]])</f>
        <v>9.7565592117281233E-2</v>
      </c>
      <c r="J146" s="4" t="s">
        <v>303</v>
      </c>
      <c r="K146" t="s">
        <v>45</v>
      </c>
      <c r="L146" t="s">
        <v>46</v>
      </c>
      <c r="M14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4986.91</v>
      </c>
      <c r="N14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47" spans="1:16" ht="60.75">
      <c r="A147" s="1" t="s">
        <v>47</v>
      </c>
      <c r="B147" t="s">
        <v>59</v>
      </c>
      <c r="C147" t="s">
        <v>55</v>
      </c>
      <c r="D147" t="s">
        <v>304</v>
      </c>
      <c r="E147" s="4" t="s">
        <v>305</v>
      </c>
      <c r="F147" s="2">
        <v>48600.37</v>
      </c>
      <c r="G147" s="2">
        <v>54137.37</v>
      </c>
      <c r="H147" s="2">
        <f>FinanceTable[[#This Row],[Actual]]-FinanceTable[[#This Row],[Budget]]</f>
        <v>5537</v>
      </c>
      <c r="I147" s="3">
        <f>IF(FinanceTable[[#This Row],[Budget]]=0,0,FinanceTable[[#This Row],[Variance]]/FinanceTable[[#This Row],[Budget]])</f>
        <v>0.11392917379024069</v>
      </c>
      <c r="J147" s="4" t="s">
        <v>306</v>
      </c>
      <c r="K147" t="s">
        <v>45</v>
      </c>
      <c r="L147" t="s">
        <v>46</v>
      </c>
      <c r="M14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54137.37</v>
      </c>
      <c r="N14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48" spans="1:16" ht="60.75">
      <c r="A148" s="1" t="s">
        <v>23</v>
      </c>
      <c r="B148" t="s">
        <v>34</v>
      </c>
      <c r="C148" t="s">
        <v>41</v>
      </c>
      <c r="D148" t="s">
        <v>117</v>
      </c>
      <c r="E148" s="4" t="s">
        <v>193</v>
      </c>
      <c r="F148" s="2">
        <v>4043.14</v>
      </c>
      <c r="G148" s="2">
        <v>4328.45</v>
      </c>
      <c r="H148" s="2">
        <f>FinanceTable[[#This Row],[Actual]]-FinanceTable[[#This Row],[Budget]]</f>
        <v>285.30999999999995</v>
      </c>
      <c r="I148" s="3">
        <f>IF(FinanceTable[[#This Row],[Budget]]=0,0,FinanceTable[[#This Row],[Variance]]/FinanceTable[[#This Row],[Budget]])</f>
        <v>7.0566440934521177E-2</v>
      </c>
      <c r="J148" s="4" t="s">
        <v>207</v>
      </c>
      <c r="K148" t="s">
        <v>45</v>
      </c>
      <c r="L148" t="s">
        <v>46</v>
      </c>
      <c r="M14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4328.45</v>
      </c>
      <c r="N14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49" spans="1:16" ht="76.5">
      <c r="A149" s="1" t="s">
        <v>33</v>
      </c>
      <c r="B149" t="s">
        <v>34</v>
      </c>
      <c r="C149" t="s">
        <v>99</v>
      </c>
      <c r="D149" t="s">
        <v>249</v>
      </c>
      <c r="E149" s="4" t="s">
        <v>307</v>
      </c>
      <c r="F149" s="2">
        <v>41248.17</v>
      </c>
      <c r="G149" s="2">
        <v>229270.62</v>
      </c>
      <c r="H149" s="2">
        <f>FinanceTable[[#This Row],[Actual]]-FinanceTable[[#This Row],[Budget]]</f>
        <v>188022.45</v>
      </c>
      <c r="I149" s="3">
        <f>IF(FinanceTable[[#This Row],[Budget]]=0,0,FinanceTable[[#This Row],[Variance]]/FinanceTable[[#This Row],[Budget]])</f>
        <v>4.5583222237495633</v>
      </c>
      <c r="J149" s="4" t="s">
        <v>266</v>
      </c>
      <c r="K149" t="s">
        <v>38</v>
      </c>
      <c r="L149" t="s">
        <v>39</v>
      </c>
      <c r="M14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97440.013500000001</v>
      </c>
      <c r="N14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4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4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13</v>
      </c>
    </row>
    <row r="150" spans="1:16" ht="60.75">
      <c r="A150" s="1" t="s">
        <v>28</v>
      </c>
      <c r="B150" t="s">
        <v>29</v>
      </c>
      <c r="C150" t="s">
        <v>62</v>
      </c>
      <c r="D150" t="s">
        <v>298</v>
      </c>
      <c r="E150" s="4" t="s">
        <v>308</v>
      </c>
      <c r="F150" s="2">
        <v>9757.34</v>
      </c>
      <c r="G150" s="2">
        <v>9815.98</v>
      </c>
      <c r="H150" s="2">
        <f>FinanceTable[[#This Row],[Actual]]-FinanceTable[[#This Row],[Budget]]</f>
        <v>58.639999999999418</v>
      </c>
      <c r="I150" s="3">
        <f>IF(FinanceTable[[#This Row],[Budget]]=0,0,FinanceTable[[#This Row],[Variance]]/FinanceTable[[#This Row],[Budget]])</f>
        <v>6.0098346475575739E-3</v>
      </c>
      <c r="J150" s="4" t="s">
        <v>309</v>
      </c>
      <c r="K150" t="s">
        <v>45</v>
      </c>
      <c r="L150" t="s">
        <v>46</v>
      </c>
      <c r="M15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9815.98</v>
      </c>
      <c r="N15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51" spans="1:16" ht="60.75">
      <c r="A151" s="1" t="s">
        <v>110</v>
      </c>
      <c r="B151" t="s">
        <v>103</v>
      </c>
      <c r="C151" t="s">
        <v>62</v>
      </c>
      <c r="D151" t="s">
        <v>63</v>
      </c>
      <c r="E151" s="4" t="s">
        <v>310</v>
      </c>
      <c r="F151" s="2">
        <v>11370.04</v>
      </c>
      <c r="G151" s="2">
        <v>12316.36</v>
      </c>
      <c r="H151" s="2">
        <f>FinanceTable[[#This Row],[Actual]]-FinanceTable[[#This Row],[Budget]]</f>
        <v>946.31999999999971</v>
      </c>
      <c r="I151" s="3">
        <f>IF(FinanceTable[[#This Row],[Budget]]=0,0,FinanceTable[[#This Row],[Variance]]/FinanceTable[[#This Row],[Budget]])</f>
        <v>8.3229258648166549E-2</v>
      </c>
      <c r="J151" s="4" t="s">
        <v>311</v>
      </c>
      <c r="K151" t="s">
        <v>45</v>
      </c>
      <c r="L151" t="s">
        <v>46</v>
      </c>
      <c r="M15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12316.36</v>
      </c>
      <c r="N15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52" spans="1:16" ht="60.75">
      <c r="A152" s="1" t="s">
        <v>78</v>
      </c>
      <c r="B152" t="s">
        <v>24</v>
      </c>
      <c r="C152" t="s">
        <v>62</v>
      </c>
      <c r="D152" t="s">
        <v>312</v>
      </c>
      <c r="E152" s="4" t="s">
        <v>313</v>
      </c>
      <c r="F152" s="2">
        <v>5564.45</v>
      </c>
      <c r="G152" s="2">
        <v>6389.51</v>
      </c>
      <c r="H152" s="2">
        <f>FinanceTable[[#This Row],[Actual]]-FinanceTable[[#This Row],[Budget]]</f>
        <v>825.0600000000004</v>
      </c>
      <c r="I152" s="3">
        <f>IF(FinanceTable[[#This Row],[Budget]]=0,0,FinanceTable[[#This Row],[Variance]]/FinanceTable[[#This Row],[Budget]])</f>
        <v>0.14827341426376378</v>
      </c>
      <c r="J152" s="4" t="s">
        <v>314</v>
      </c>
      <c r="K152" t="s">
        <v>45</v>
      </c>
      <c r="L152" t="s">
        <v>46</v>
      </c>
      <c r="M15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6389.51</v>
      </c>
      <c r="N15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53" spans="1:16" ht="60.75">
      <c r="A153" s="1" t="s">
        <v>16</v>
      </c>
      <c r="B153" t="s">
        <v>103</v>
      </c>
      <c r="C153" t="s">
        <v>62</v>
      </c>
      <c r="D153" t="s">
        <v>315</v>
      </c>
      <c r="E153" s="4" t="s">
        <v>137</v>
      </c>
      <c r="F153" s="2">
        <v>8079.04</v>
      </c>
      <c r="G153" s="2">
        <v>9330.98</v>
      </c>
      <c r="H153" s="2">
        <f>FinanceTable[[#This Row],[Actual]]-FinanceTable[[#This Row],[Budget]]</f>
        <v>1251.9399999999996</v>
      </c>
      <c r="I153" s="3">
        <f>IF(FinanceTable[[#This Row],[Budget]]=0,0,FinanceTable[[#This Row],[Variance]]/FinanceTable[[#This Row],[Budget]])</f>
        <v>0.15496148057194908</v>
      </c>
      <c r="J153" s="4" t="s">
        <v>234</v>
      </c>
      <c r="K153" t="s">
        <v>45</v>
      </c>
      <c r="L153" t="s">
        <v>46</v>
      </c>
      <c r="M15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9330.98</v>
      </c>
      <c r="N15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54" spans="1:16" ht="60.75">
      <c r="A154" s="1" t="s">
        <v>40</v>
      </c>
      <c r="B154" t="s">
        <v>34</v>
      </c>
      <c r="C154" t="s">
        <v>62</v>
      </c>
      <c r="D154" t="s">
        <v>63</v>
      </c>
      <c r="E154" s="4" t="s">
        <v>316</v>
      </c>
      <c r="F154" s="2">
        <v>7492.13</v>
      </c>
      <c r="G154" s="2">
        <v>8519.7900000000009</v>
      </c>
      <c r="H154" s="2">
        <f>FinanceTable[[#This Row],[Actual]]-FinanceTable[[#This Row],[Budget]]</f>
        <v>1027.6600000000008</v>
      </c>
      <c r="I154" s="3">
        <f>IF(FinanceTable[[#This Row],[Budget]]=0,0,FinanceTable[[#This Row],[Variance]]/FinanceTable[[#This Row],[Budget]])</f>
        <v>0.13716526541851259</v>
      </c>
      <c r="J154" s="4" t="s">
        <v>65</v>
      </c>
      <c r="K154" t="s">
        <v>45</v>
      </c>
      <c r="L154" t="s">
        <v>46</v>
      </c>
      <c r="M15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8519.7900000000009</v>
      </c>
      <c r="N15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55" spans="1:16" ht="60.75">
      <c r="A155" s="1" t="s">
        <v>71</v>
      </c>
      <c r="B155" t="s">
        <v>103</v>
      </c>
      <c r="C155" t="s">
        <v>79</v>
      </c>
      <c r="D155" t="s">
        <v>80</v>
      </c>
      <c r="E155" s="4" t="s">
        <v>317</v>
      </c>
      <c r="F155" s="2">
        <v>13430.6</v>
      </c>
      <c r="G155" s="2">
        <v>112805.42</v>
      </c>
      <c r="H155" s="2">
        <f>FinanceTable[[#This Row],[Actual]]-FinanceTable[[#This Row],[Budget]]</f>
        <v>99374.819999999992</v>
      </c>
      <c r="I155" s="3">
        <f>IF(FinanceTable[[#This Row],[Budget]]=0,0,FinanceTable[[#This Row],[Variance]]/FinanceTable[[#This Row],[Budget]])</f>
        <v>7.399134811549744</v>
      </c>
      <c r="J155" s="4" t="s">
        <v>189</v>
      </c>
      <c r="K155" t="s">
        <v>38</v>
      </c>
      <c r="L155" t="s">
        <v>39</v>
      </c>
      <c r="M15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47942.303499999995</v>
      </c>
      <c r="N15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19</v>
      </c>
    </row>
    <row r="156" spans="1:16" ht="60.75">
      <c r="A156" s="1" t="s">
        <v>71</v>
      </c>
      <c r="B156" t="s">
        <v>59</v>
      </c>
      <c r="C156" t="s">
        <v>41</v>
      </c>
      <c r="D156" t="s">
        <v>42</v>
      </c>
      <c r="E156" s="4" t="s">
        <v>97</v>
      </c>
      <c r="F156" s="2">
        <v>4408.1400000000003</v>
      </c>
      <c r="G156" s="2">
        <v>4052.87</v>
      </c>
      <c r="H156" s="2">
        <f>FinanceTable[[#This Row],[Actual]]-FinanceTable[[#This Row],[Budget]]</f>
        <v>-355.27000000000044</v>
      </c>
      <c r="I156" s="3">
        <f>IF(FinanceTable[[#This Row],[Budget]]=0,0,FinanceTable[[#This Row],[Variance]]/FinanceTable[[#This Row],[Budget]])</f>
        <v>-8.0594082765066535E-2</v>
      </c>
      <c r="J156" s="4" t="s">
        <v>98</v>
      </c>
      <c r="K156" t="s">
        <v>45</v>
      </c>
      <c r="L156" t="s">
        <v>46</v>
      </c>
      <c r="M15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4052.87</v>
      </c>
      <c r="N15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57" spans="1:16" ht="60.75">
      <c r="A157" s="1" t="s">
        <v>47</v>
      </c>
      <c r="B157" t="s">
        <v>24</v>
      </c>
      <c r="C157" t="s">
        <v>30</v>
      </c>
      <c r="D157" t="s">
        <v>318</v>
      </c>
      <c r="E157" s="4" t="s">
        <v>259</v>
      </c>
      <c r="F157" s="2">
        <v>98146.43</v>
      </c>
      <c r="G157" s="2">
        <v>108028.48</v>
      </c>
      <c r="H157" s="2">
        <f>FinanceTable[[#This Row],[Actual]]-FinanceTable[[#This Row],[Budget]]</f>
        <v>9882.0500000000029</v>
      </c>
      <c r="I157" s="3">
        <f>IF(FinanceTable[[#This Row],[Budget]]=0,0,FinanceTable[[#This Row],[Variance]]/FinanceTable[[#This Row],[Budget]])</f>
        <v>0.10068680032478006</v>
      </c>
      <c r="J157" s="4" t="s">
        <v>268</v>
      </c>
      <c r="K157" t="s">
        <v>45</v>
      </c>
      <c r="L157" t="s">
        <v>46</v>
      </c>
      <c r="M15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108028.48</v>
      </c>
      <c r="N15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58" spans="1:16" ht="60.75">
      <c r="A158" s="1" t="s">
        <v>93</v>
      </c>
      <c r="B158" t="s">
        <v>29</v>
      </c>
      <c r="C158" t="s">
        <v>55</v>
      </c>
      <c r="D158" t="s">
        <v>319</v>
      </c>
      <c r="E158" s="4" t="s">
        <v>112</v>
      </c>
      <c r="F158" s="2">
        <v>83814.820000000007</v>
      </c>
      <c r="G158" s="2">
        <v>87451.23</v>
      </c>
      <c r="H158" s="2">
        <f>FinanceTable[[#This Row],[Actual]]-FinanceTable[[#This Row],[Budget]]</f>
        <v>3636.4099999999889</v>
      </c>
      <c r="I158" s="3">
        <f>IF(FinanceTable[[#This Row],[Budget]]=0,0,FinanceTable[[#This Row],[Variance]]/FinanceTable[[#This Row],[Budget]])</f>
        <v>4.338624123991424E-2</v>
      </c>
      <c r="J158" s="4" t="s">
        <v>294</v>
      </c>
      <c r="K158" t="s">
        <v>45</v>
      </c>
      <c r="L158" t="s">
        <v>46</v>
      </c>
      <c r="M15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87451.23</v>
      </c>
      <c r="N15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59" spans="1:16" ht="60.75">
      <c r="A159" s="1" t="s">
        <v>93</v>
      </c>
      <c r="B159" t="s">
        <v>34</v>
      </c>
      <c r="C159" t="s">
        <v>18</v>
      </c>
      <c r="D159" t="s">
        <v>114</v>
      </c>
      <c r="E159" s="4" t="s">
        <v>275</v>
      </c>
      <c r="F159" s="2">
        <v>5527.25</v>
      </c>
      <c r="G159" s="2">
        <v>4349.17</v>
      </c>
      <c r="H159" s="2">
        <f>FinanceTable[[#This Row],[Actual]]-FinanceTable[[#This Row],[Budget]]</f>
        <v>-1178.08</v>
      </c>
      <c r="I159" s="3">
        <f>IF(FinanceTable[[#This Row],[Budget]]=0,0,FinanceTable[[#This Row],[Variance]]/FinanceTable[[#This Row],[Budget]])</f>
        <v>-0.21314035008367632</v>
      </c>
      <c r="J159" s="4" t="s">
        <v>181</v>
      </c>
      <c r="K159" t="s">
        <v>45</v>
      </c>
      <c r="L159" t="s">
        <v>46</v>
      </c>
      <c r="M15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4349.17</v>
      </c>
      <c r="N15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5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5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60" spans="1:16" ht="60.75">
      <c r="A160" s="1" t="s">
        <v>71</v>
      </c>
      <c r="B160" t="s">
        <v>59</v>
      </c>
      <c r="C160" t="s">
        <v>30</v>
      </c>
      <c r="D160" t="s">
        <v>320</v>
      </c>
      <c r="E160" s="4" t="s">
        <v>321</v>
      </c>
      <c r="F160" s="2">
        <v>124471.39</v>
      </c>
      <c r="G160" s="2">
        <v>108929.29</v>
      </c>
      <c r="H160" s="2">
        <f>FinanceTable[[#This Row],[Actual]]-FinanceTable[[#This Row],[Budget]]</f>
        <v>-15542.100000000006</v>
      </c>
      <c r="I160" s="3">
        <f>IF(FinanceTable[[#This Row],[Budget]]=0,0,FinanceTable[[#This Row],[Variance]]/FinanceTable[[#This Row],[Budget]])</f>
        <v>-0.12486483841788869</v>
      </c>
      <c r="J160" s="4" t="s">
        <v>74</v>
      </c>
      <c r="K160" t="s">
        <v>45</v>
      </c>
      <c r="L160" t="s">
        <v>46</v>
      </c>
      <c r="M16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108929.29</v>
      </c>
      <c r="N16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61" spans="1:16" ht="60.75">
      <c r="A161" s="1" t="s">
        <v>78</v>
      </c>
      <c r="B161" t="s">
        <v>17</v>
      </c>
      <c r="C161" t="s">
        <v>67</v>
      </c>
      <c r="D161" t="s">
        <v>68</v>
      </c>
      <c r="E161" s="4" t="s">
        <v>322</v>
      </c>
      <c r="F161" s="2">
        <v>117268.48</v>
      </c>
      <c r="G161" s="2">
        <v>115720.03</v>
      </c>
      <c r="H161" s="2">
        <f>FinanceTable[[#This Row],[Actual]]-FinanceTable[[#This Row],[Budget]]</f>
        <v>-1548.4499999999971</v>
      </c>
      <c r="I161" s="3">
        <f>IF(FinanceTable[[#This Row],[Budget]]=0,0,FinanceTable[[#This Row],[Variance]]/FinanceTable[[#This Row],[Budget]])</f>
        <v>-1.3204315430710769E-2</v>
      </c>
      <c r="J161" s="4" t="s">
        <v>253</v>
      </c>
      <c r="K161" t="s">
        <v>45</v>
      </c>
      <c r="L161" t="s">
        <v>46</v>
      </c>
      <c r="M16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115720.03</v>
      </c>
      <c r="N16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62" spans="1:16" ht="76.5">
      <c r="A162" s="1" t="s">
        <v>33</v>
      </c>
      <c r="B162" t="s">
        <v>103</v>
      </c>
      <c r="C162" t="s">
        <v>25</v>
      </c>
      <c r="D162" t="s">
        <v>107</v>
      </c>
      <c r="E162" s="4" t="s">
        <v>224</v>
      </c>
      <c r="F162" s="2">
        <v>1955.4</v>
      </c>
      <c r="G162" s="2">
        <v>2654.85</v>
      </c>
      <c r="H162" s="2">
        <f>FinanceTable[[#This Row],[Actual]]-FinanceTable[[#This Row],[Budget]]</f>
        <v>699.44999999999982</v>
      </c>
      <c r="I162" s="3">
        <f>IF(FinanceTable[[#This Row],[Budget]]=0,0,FinanceTable[[#This Row],[Variance]]/FinanceTable[[#This Row],[Budget]])</f>
        <v>0.35770174900276147</v>
      </c>
      <c r="J162" s="4" t="s">
        <v>196</v>
      </c>
      <c r="K162" t="s">
        <v>38</v>
      </c>
      <c r="L162" t="s">
        <v>46</v>
      </c>
      <c r="M16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2256.6224999999999</v>
      </c>
      <c r="N162" s="2">
        <f>IF(FinanceTable[[#This Row],[Account]]="Advertising",IFERROR(FinanceTable[[#This Row],[Actual]]/(MAX(1,SUMIFS(FinanceTable[Actual],FinanceTable[Month],FinanceTable[[#This Row],[Month]],FinanceTable[Account],"Revenue")/1000)),""),"")</f>
        <v>21.212837184313376</v>
      </c>
      <c r="O162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16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7</v>
      </c>
    </row>
    <row r="163" spans="1:16" ht="76.5">
      <c r="A163" s="1" t="s">
        <v>33</v>
      </c>
      <c r="B163" t="s">
        <v>59</v>
      </c>
      <c r="C163" t="s">
        <v>99</v>
      </c>
      <c r="D163" t="s">
        <v>229</v>
      </c>
      <c r="E163" s="4" t="s">
        <v>323</v>
      </c>
      <c r="F163" s="2">
        <v>50608.3</v>
      </c>
      <c r="G163" s="2">
        <v>46954.47</v>
      </c>
      <c r="H163" s="2">
        <f>FinanceTable[[#This Row],[Actual]]-FinanceTable[[#This Row],[Budget]]</f>
        <v>-3653.8300000000017</v>
      </c>
      <c r="I163" s="3">
        <f>IF(FinanceTable[[#This Row],[Budget]]=0,0,FinanceTable[[#This Row],[Variance]]/FinanceTable[[#This Row],[Budget]])</f>
        <v>-7.219823625768898E-2</v>
      </c>
      <c r="J163" s="4" t="s">
        <v>266</v>
      </c>
      <c r="K163" t="s">
        <v>45</v>
      </c>
      <c r="L163" t="s">
        <v>46</v>
      </c>
      <c r="M16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46954.47</v>
      </c>
      <c r="N16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64" spans="1:16" ht="76.5">
      <c r="A164" s="1" t="s">
        <v>71</v>
      </c>
      <c r="B164" t="s">
        <v>103</v>
      </c>
      <c r="C164" t="s">
        <v>99</v>
      </c>
      <c r="D164" t="s">
        <v>324</v>
      </c>
      <c r="E164" s="4" t="s">
        <v>325</v>
      </c>
      <c r="F164" s="2">
        <v>36896.410000000003</v>
      </c>
      <c r="G164" s="2">
        <v>36207.65</v>
      </c>
      <c r="H164" s="2">
        <f>FinanceTable[[#This Row],[Actual]]-FinanceTable[[#This Row],[Budget]]</f>
        <v>-688.76000000000204</v>
      </c>
      <c r="I164" s="3">
        <f>IF(FinanceTable[[#This Row],[Budget]]=0,0,FinanceTable[[#This Row],[Variance]]/FinanceTable[[#This Row],[Budget]])</f>
        <v>-1.8667398806550609E-2</v>
      </c>
      <c r="J164" s="4" t="s">
        <v>251</v>
      </c>
      <c r="K164" t="s">
        <v>21</v>
      </c>
      <c r="L164" t="s">
        <v>46</v>
      </c>
      <c r="M16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27155.737500000003</v>
      </c>
      <c r="N16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24</v>
      </c>
    </row>
    <row r="165" spans="1:16" ht="60.75">
      <c r="A165" s="1" t="s">
        <v>40</v>
      </c>
      <c r="B165" t="s">
        <v>29</v>
      </c>
      <c r="C165" t="s">
        <v>62</v>
      </c>
      <c r="D165" t="s">
        <v>198</v>
      </c>
      <c r="E165" s="4" t="s">
        <v>326</v>
      </c>
      <c r="F165" s="2">
        <v>1519.11</v>
      </c>
      <c r="G165" s="2">
        <v>1693.15</v>
      </c>
      <c r="H165" s="2">
        <f>FinanceTable[[#This Row],[Actual]]-FinanceTable[[#This Row],[Budget]]</f>
        <v>174.04000000000019</v>
      </c>
      <c r="I165" s="3">
        <f>IF(FinanceTable[[#This Row],[Budget]]=0,0,FinanceTable[[#This Row],[Variance]]/FinanceTable[[#This Row],[Budget]])</f>
        <v>0.11456708204145861</v>
      </c>
      <c r="J165" s="4" t="s">
        <v>65</v>
      </c>
      <c r="K165" t="s">
        <v>45</v>
      </c>
      <c r="L165" t="s">
        <v>46</v>
      </c>
      <c r="M16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1693.15</v>
      </c>
      <c r="N16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66" spans="1:16" ht="76.5">
      <c r="A166" s="1" t="s">
        <v>93</v>
      </c>
      <c r="B166" t="s">
        <v>34</v>
      </c>
      <c r="C166" t="s">
        <v>25</v>
      </c>
      <c r="D166" t="s">
        <v>327</v>
      </c>
      <c r="E166" s="4" t="s">
        <v>328</v>
      </c>
      <c r="F166" s="2">
        <v>4128.4399999999996</v>
      </c>
      <c r="G166" s="2">
        <v>5633.44</v>
      </c>
      <c r="H166" s="2">
        <f>FinanceTable[[#This Row],[Actual]]-FinanceTable[[#This Row],[Budget]]</f>
        <v>1505</v>
      </c>
      <c r="I166" s="3">
        <f>IF(FinanceTable[[#This Row],[Budget]]=0,0,FinanceTable[[#This Row],[Variance]]/FinanceTable[[#This Row],[Budget]])</f>
        <v>0.36454447684839797</v>
      </c>
      <c r="J166" s="4" t="s">
        <v>329</v>
      </c>
      <c r="K166" t="s">
        <v>38</v>
      </c>
      <c r="L166" t="s">
        <v>46</v>
      </c>
      <c r="M16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4788.424</v>
      </c>
      <c r="N166" s="2">
        <f>IF(FinanceTable[[#This Row],[Account]]="Advertising",IFERROR(FinanceTable[[#This Row],[Actual]]/(MAX(1,SUMIFS(FinanceTable[Actual],FinanceTable[Month],FinanceTable[[#This Row],[Month]],FinanceTable[Account],"Revenue")/1000)),""),"")</f>
        <v>87.537854873168584</v>
      </c>
      <c r="O166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16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11</v>
      </c>
    </row>
    <row r="167" spans="1:16" ht="60.75">
      <c r="A167" s="1" t="s">
        <v>47</v>
      </c>
      <c r="B167" t="s">
        <v>24</v>
      </c>
      <c r="C167" t="s">
        <v>79</v>
      </c>
      <c r="D167" t="s">
        <v>208</v>
      </c>
      <c r="E167" s="4" t="s">
        <v>330</v>
      </c>
      <c r="F167" s="2">
        <v>13469.48</v>
      </c>
      <c r="G167" s="2">
        <v>16155.16</v>
      </c>
      <c r="H167" s="2">
        <f>FinanceTable[[#This Row],[Actual]]-FinanceTable[[#This Row],[Budget]]</f>
        <v>2685.6800000000003</v>
      </c>
      <c r="I167" s="3">
        <f>IF(FinanceTable[[#This Row],[Budget]]=0,0,FinanceTable[[#This Row],[Variance]]/FinanceTable[[#This Row],[Budget]])</f>
        <v>0.19939002841980538</v>
      </c>
      <c r="J167" s="4" t="s">
        <v>175</v>
      </c>
      <c r="K167" t="s">
        <v>45</v>
      </c>
      <c r="L167" t="s">
        <v>46</v>
      </c>
      <c r="M16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16155.16</v>
      </c>
      <c r="N16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68" spans="1:16" ht="76.5">
      <c r="A168" s="1" t="s">
        <v>47</v>
      </c>
      <c r="B168" t="s">
        <v>29</v>
      </c>
      <c r="C168" t="s">
        <v>99</v>
      </c>
      <c r="E168" s="4" t="s">
        <v>331</v>
      </c>
      <c r="F168" s="2">
        <v>4346.57</v>
      </c>
      <c r="G168" s="2">
        <v>5718.11</v>
      </c>
      <c r="H168" s="2">
        <f>FinanceTable[[#This Row],[Actual]]-FinanceTable[[#This Row],[Budget]]</f>
        <v>1371.54</v>
      </c>
      <c r="I168" s="3">
        <f>IF(FinanceTable[[#This Row],[Budget]]=0,0,FinanceTable[[#This Row],[Variance]]/FinanceTable[[#This Row],[Budget]])</f>
        <v>0.31554536105480874</v>
      </c>
      <c r="J168" s="4" t="s">
        <v>332</v>
      </c>
      <c r="K168" t="s">
        <v>38</v>
      </c>
      <c r="L168" t="s">
        <v>22</v>
      </c>
      <c r="M16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3402.2754499999996</v>
      </c>
      <c r="N16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23</v>
      </c>
    </row>
    <row r="169" spans="1:16" ht="60.75">
      <c r="A169" s="1" t="s">
        <v>93</v>
      </c>
      <c r="B169" t="s">
        <v>103</v>
      </c>
      <c r="C169" t="s">
        <v>30</v>
      </c>
      <c r="D169" t="s">
        <v>129</v>
      </c>
      <c r="E169" s="4" t="s">
        <v>333</v>
      </c>
      <c r="F169" s="2">
        <v>64822.23</v>
      </c>
      <c r="G169" s="2">
        <v>64354.33</v>
      </c>
      <c r="H169" s="2">
        <f>FinanceTable[[#This Row],[Actual]]-FinanceTable[[#This Row],[Budget]]</f>
        <v>-467.90000000000146</v>
      </c>
      <c r="I169" s="3">
        <f>IF(FinanceTable[[#This Row],[Budget]]=0,0,FinanceTable[[#This Row],[Variance]]/FinanceTable[[#This Row],[Budget]])</f>
        <v>-7.2182027677850863E-3</v>
      </c>
      <c r="J169" s="4" t="s">
        <v>334</v>
      </c>
      <c r="K169" t="s">
        <v>45</v>
      </c>
      <c r="L169" t="s">
        <v>46</v>
      </c>
      <c r="M16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64354.33</v>
      </c>
      <c r="N16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6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6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70" spans="1:16" ht="60.75">
      <c r="A170" s="1" t="s">
        <v>16</v>
      </c>
      <c r="B170" t="s">
        <v>59</v>
      </c>
      <c r="C170" t="s">
        <v>41</v>
      </c>
      <c r="D170" t="s">
        <v>127</v>
      </c>
      <c r="E170" s="4" t="s">
        <v>149</v>
      </c>
      <c r="F170" s="2">
        <v>4346.34</v>
      </c>
      <c r="G170" s="2">
        <v>4225.1000000000004</v>
      </c>
      <c r="H170" s="2">
        <f>FinanceTable[[#This Row],[Actual]]-FinanceTable[[#This Row],[Budget]]</f>
        <v>-121.23999999999978</v>
      </c>
      <c r="I170" s="3">
        <f>IF(FinanceTable[[#This Row],[Budget]]=0,0,FinanceTable[[#This Row],[Variance]]/FinanceTable[[#This Row],[Budget]])</f>
        <v>-2.7894734420224783E-2</v>
      </c>
      <c r="J170" s="4" t="s">
        <v>126</v>
      </c>
      <c r="K170" t="s">
        <v>45</v>
      </c>
      <c r="L170" t="s">
        <v>46</v>
      </c>
      <c r="M17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4225.1000000000004</v>
      </c>
      <c r="N17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71" spans="1:16" ht="60.75">
      <c r="A171" s="1" t="s">
        <v>23</v>
      </c>
      <c r="B171" t="s">
        <v>34</v>
      </c>
      <c r="C171" t="s">
        <v>83</v>
      </c>
      <c r="D171" t="s">
        <v>203</v>
      </c>
      <c r="E171" s="4" t="s">
        <v>221</v>
      </c>
      <c r="F171" s="2">
        <v>6877.85</v>
      </c>
      <c r="G171" s="2">
        <v>7070.23</v>
      </c>
      <c r="H171" s="2">
        <f>FinanceTable[[#This Row],[Actual]]-FinanceTable[[#This Row],[Budget]]</f>
        <v>192.3799999999992</v>
      </c>
      <c r="I171" s="3">
        <f>IF(FinanceTable[[#This Row],[Budget]]=0,0,FinanceTable[[#This Row],[Variance]]/FinanceTable[[#This Row],[Budget]])</f>
        <v>2.7970950224270548E-2</v>
      </c>
      <c r="J171" s="4" t="s">
        <v>86</v>
      </c>
      <c r="K171" t="s">
        <v>45</v>
      </c>
      <c r="L171" t="s">
        <v>46</v>
      </c>
      <c r="M17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7070.23</v>
      </c>
      <c r="N17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72" spans="1:16" ht="60.75">
      <c r="A172" s="1" t="s">
        <v>28</v>
      </c>
      <c r="B172" t="s">
        <v>24</v>
      </c>
      <c r="C172" t="s">
        <v>55</v>
      </c>
      <c r="D172" t="s">
        <v>272</v>
      </c>
      <c r="E172" s="4" t="s">
        <v>185</v>
      </c>
      <c r="F172" s="2">
        <v>23977.14</v>
      </c>
      <c r="G172" s="2">
        <v>27771.26</v>
      </c>
      <c r="H172" s="2">
        <f>FinanceTable[[#This Row],[Actual]]-FinanceTable[[#This Row],[Budget]]</f>
        <v>3794.119999999999</v>
      </c>
      <c r="I172" s="3">
        <f>IF(FinanceTable[[#This Row],[Budget]]=0,0,FinanceTable[[#This Row],[Variance]]/FinanceTable[[#This Row],[Budget]])</f>
        <v>0.15823905603420588</v>
      </c>
      <c r="J172" s="4" t="s">
        <v>335</v>
      </c>
      <c r="K172" t="s">
        <v>45</v>
      </c>
      <c r="L172" t="s">
        <v>46</v>
      </c>
      <c r="M17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27771.26</v>
      </c>
      <c r="N17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73" spans="1:16" ht="60.75">
      <c r="A173" s="1" t="s">
        <v>110</v>
      </c>
      <c r="B173" t="s">
        <v>103</v>
      </c>
      <c r="C173" t="s">
        <v>67</v>
      </c>
      <c r="D173" t="s">
        <v>68</v>
      </c>
      <c r="E173" s="4" t="s">
        <v>105</v>
      </c>
      <c r="F173" s="2">
        <v>64601.29</v>
      </c>
      <c r="G173" s="2">
        <v>69523.41</v>
      </c>
      <c r="H173" s="2">
        <f>FinanceTable[[#This Row],[Actual]]-FinanceTable[[#This Row],[Budget]]</f>
        <v>4922.1200000000026</v>
      </c>
      <c r="I173" s="3">
        <f>IF(FinanceTable[[#This Row],[Budget]]=0,0,FinanceTable[[#This Row],[Variance]]/FinanceTable[[#This Row],[Budget]])</f>
        <v>7.6192286562698705E-2</v>
      </c>
      <c r="J173" s="4" t="s">
        <v>280</v>
      </c>
      <c r="K173" t="s">
        <v>45</v>
      </c>
      <c r="L173" t="s">
        <v>46</v>
      </c>
      <c r="M17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69523.41</v>
      </c>
      <c r="N17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74" spans="1:16" ht="60.75">
      <c r="A174" s="1" t="s">
        <v>16</v>
      </c>
      <c r="B174" t="s">
        <v>34</v>
      </c>
      <c r="C174" t="s">
        <v>35</v>
      </c>
      <c r="D174" t="s">
        <v>36</v>
      </c>
      <c r="E174" s="4" t="s">
        <v>164</v>
      </c>
      <c r="F174" s="2">
        <v>2706.14</v>
      </c>
      <c r="G174" s="2">
        <v>2657.44</v>
      </c>
      <c r="H174" s="2">
        <f>FinanceTable[[#This Row],[Actual]]-FinanceTable[[#This Row],[Budget]]</f>
        <v>-48.699999999999818</v>
      </c>
      <c r="I174" s="3">
        <f>IF(FinanceTable[[#This Row],[Budget]]=0,0,FinanceTable[[#This Row],[Variance]]/FinanceTable[[#This Row],[Budget]])</f>
        <v>-1.7996112544066391E-2</v>
      </c>
      <c r="J174" s="4" t="s">
        <v>165</v>
      </c>
      <c r="K174" t="s">
        <v>45</v>
      </c>
      <c r="L174" t="s">
        <v>46</v>
      </c>
      <c r="M17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2657.44</v>
      </c>
      <c r="N17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75" spans="1:16" ht="76.5">
      <c r="A175" s="1" t="s">
        <v>110</v>
      </c>
      <c r="B175" t="s">
        <v>59</v>
      </c>
      <c r="C175" t="s">
        <v>99</v>
      </c>
      <c r="D175" t="s">
        <v>265</v>
      </c>
      <c r="E175" s="4" t="s">
        <v>336</v>
      </c>
      <c r="F175" s="2">
        <v>16239.79</v>
      </c>
      <c r="G175" s="2">
        <v>14359.04</v>
      </c>
      <c r="H175" s="2">
        <f>FinanceTable[[#This Row],[Actual]]-FinanceTable[[#This Row],[Budget]]</f>
        <v>-1880.75</v>
      </c>
      <c r="I175" s="3">
        <f>IF(FinanceTable[[#This Row],[Budget]]=0,0,FinanceTable[[#This Row],[Variance]]/FinanceTable[[#This Row],[Budget]])</f>
        <v>-0.11581122662300436</v>
      </c>
      <c r="J175" s="4" t="s">
        <v>337</v>
      </c>
      <c r="K175" t="s">
        <v>45</v>
      </c>
      <c r="L175" t="s">
        <v>46</v>
      </c>
      <c r="M17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14359.04</v>
      </c>
      <c r="N17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76" spans="1:16" ht="76.5">
      <c r="A176" s="1" t="s">
        <v>110</v>
      </c>
      <c r="B176" t="s">
        <v>59</v>
      </c>
      <c r="C176" t="s">
        <v>99</v>
      </c>
      <c r="D176" t="s">
        <v>229</v>
      </c>
      <c r="E176" s="4" t="s">
        <v>338</v>
      </c>
      <c r="F176" s="2">
        <v>48325.22</v>
      </c>
      <c r="G176" s="2">
        <v>40175.85</v>
      </c>
      <c r="H176" s="2">
        <f>FinanceTable[[#This Row],[Actual]]-FinanceTable[[#This Row],[Budget]]</f>
        <v>-8149.3700000000026</v>
      </c>
      <c r="I176" s="3">
        <f>IF(FinanceTable[[#This Row],[Budget]]=0,0,FinanceTable[[#This Row],[Variance]]/FinanceTable[[#This Row],[Budget]])</f>
        <v>-0.16863596275402373</v>
      </c>
      <c r="J176" s="4" t="s">
        <v>337</v>
      </c>
      <c r="K176" t="s">
        <v>21</v>
      </c>
      <c r="L176" t="s">
        <v>46</v>
      </c>
      <c r="M17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30131.887499999997</v>
      </c>
      <c r="N17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36</v>
      </c>
    </row>
    <row r="177" spans="1:16" ht="60.75">
      <c r="A177" s="1" t="s">
        <v>16</v>
      </c>
      <c r="B177" t="s">
        <v>59</v>
      </c>
      <c r="C177" t="s">
        <v>55</v>
      </c>
      <c r="D177" t="s">
        <v>272</v>
      </c>
      <c r="E177" s="4" t="s">
        <v>339</v>
      </c>
      <c r="F177" s="2">
        <v>43192.89</v>
      </c>
      <c r="G177" s="2">
        <v>41947.17</v>
      </c>
      <c r="H177" s="2">
        <f>FinanceTable[[#This Row],[Actual]]-FinanceTable[[#This Row],[Budget]]</f>
        <v>-1245.7200000000012</v>
      </c>
      <c r="I177" s="3">
        <f>IF(FinanceTable[[#This Row],[Budget]]=0,0,FinanceTable[[#This Row],[Variance]]/FinanceTable[[#This Row],[Budget]])</f>
        <v>-2.884085783562992E-2</v>
      </c>
      <c r="J177" s="4" t="s">
        <v>340</v>
      </c>
      <c r="K177" t="s">
        <v>45</v>
      </c>
      <c r="L177" t="s">
        <v>46</v>
      </c>
      <c r="M17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41947.17</v>
      </c>
      <c r="N17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78" spans="1:16" ht="60.75">
      <c r="A178" s="1" t="s">
        <v>71</v>
      </c>
      <c r="B178" t="s">
        <v>59</v>
      </c>
      <c r="C178" t="s">
        <v>83</v>
      </c>
      <c r="D178" t="s">
        <v>203</v>
      </c>
      <c r="E178" s="4" t="s">
        <v>140</v>
      </c>
      <c r="F178" s="2">
        <v>208.32</v>
      </c>
      <c r="G178" s="2">
        <v>173.9</v>
      </c>
      <c r="H178" s="2">
        <f>FinanceTable[[#This Row],[Actual]]-FinanceTable[[#This Row],[Budget]]</f>
        <v>-34.419999999999987</v>
      </c>
      <c r="I178" s="3">
        <f>IF(FinanceTable[[#This Row],[Budget]]=0,0,FinanceTable[[#This Row],[Variance]]/FinanceTable[[#This Row],[Budget]])</f>
        <v>-0.165226574500768</v>
      </c>
      <c r="J178" s="4" t="s">
        <v>141</v>
      </c>
      <c r="K178" t="s">
        <v>45</v>
      </c>
      <c r="L178" t="s">
        <v>46</v>
      </c>
      <c r="M17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173.9</v>
      </c>
      <c r="N17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7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7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79" spans="1:16" ht="76.5">
      <c r="A179" s="1" t="s">
        <v>93</v>
      </c>
      <c r="B179" t="s">
        <v>34</v>
      </c>
      <c r="C179" t="s">
        <v>25</v>
      </c>
      <c r="D179" t="s">
        <v>195</v>
      </c>
      <c r="E179" s="4" t="s">
        <v>341</v>
      </c>
      <c r="F179" s="2">
        <v>24710.55</v>
      </c>
      <c r="G179" s="2">
        <v>24537.9</v>
      </c>
      <c r="H179" s="2">
        <f>FinanceTable[[#This Row],[Actual]]-FinanceTable[[#This Row],[Budget]]</f>
        <v>-172.64999999999782</v>
      </c>
      <c r="I179" s="3">
        <f>IF(FinanceTable[[#This Row],[Budget]]=0,0,FinanceTable[[#This Row],[Variance]]/FinanceTable[[#This Row],[Budget]])</f>
        <v>-6.9868942617625999E-3</v>
      </c>
      <c r="J179" s="4" t="s">
        <v>329</v>
      </c>
      <c r="K179" t="s">
        <v>45</v>
      </c>
      <c r="L179" t="s">
        <v>46</v>
      </c>
      <c r="M17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24537.9</v>
      </c>
      <c r="N179" s="2">
        <f>IF(FinanceTable[[#This Row],[Account]]="Advertising",IFERROR(FinanceTable[[#This Row],[Actual]]/(MAX(1,SUMIFS(FinanceTable[Actual],FinanceTable[Month],FinanceTable[[#This Row],[Month]],FinanceTable[Account],"Revenue")/1000)),""),"")</f>
        <v>381.29369072757032</v>
      </c>
      <c r="O179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17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80" spans="1:16" ht="60.75">
      <c r="A180" s="1" t="s">
        <v>28</v>
      </c>
      <c r="B180" t="s">
        <v>29</v>
      </c>
      <c r="C180" t="s">
        <v>18</v>
      </c>
      <c r="D180" t="s">
        <v>48</v>
      </c>
      <c r="E180" s="4" t="s">
        <v>180</v>
      </c>
      <c r="F180" s="2">
        <v>6796.99</v>
      </c>
      <c r="G180" s="2">
        <v>6509.54</v>
      </c>
      <c r="H180" s="2">
        <f>FinanceTable[[#This Row],[Actual]]-FinanceTable[[#This Row],[Budget]]</f>
        <v>-287.44999999999982</v>
      </c>
      <c r="I180" s="3">
        <f>IF(FinanceTable[[#This Row],[Budget]]=0,0,FinanceTable[[#This Row],[Variance]]/FinanceTable[[#This Row],[Budget]])</f>
        <v>-4.2290778712341763E-2</v>
      </c>
      <c r="J180" s="4" t="s">
        <v>177</v>
      </c>
      <c r="K180" t="s">
        <v>45</v>
      </c>
      <c r="L180" t="s">
        <v>46</v>
      </c>
      <c r="M18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6509.54</v>
      </c>
      <c r="N18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81" spans="1:16" ht="60.75">
      <c r="A181" s="1" t="s">
        <v>23</v>
      </c>
      <c r="B181" t="s">
        <v>29</v>
      </c>
      <c r="C181" t="s">
        <v>67</v>
      </c>
      <c r="D181" t="s">
        <v>104</v>
      </c>
      <c r="E181" s="4" t="s">
        <v>342</v>
      </c>
      <c r="F181" s="2">
        <v>26232.3</v>
      </c>
      <c r="G181" s="2">
        <v>26254.3</v>
      </c>
      <c r="H181" s="2">
        <f>FinanceTable[[#This Row],[Actual]]-FinanceTable[[#This Row],[Budget]]</f>
        <v>22</v>
      </c>
      <c r="I181" s="3">
        <f>IF(FinanceTable[[#This Row],[Budget]]=0,0,FinanceTable[[#This Row],[Variance]]/FinanceTable[[#This Row],[Budget]])</f>
        <v>8.3866073504801331E-4</v>
      </c>
      <c r="J181" s="4" t="s">
        <v>343</v>
      </c>
      <c r="K181" t="s">
        <v>45</v>
      </c>
      <c r="L181" t="s">
        <v>46</v>
      </c>
      <c r="M18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26254.3</v>
      </c>
      <c r="N18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82" spans="1:16" ht="60.75">
      <c r="A182" s="1" t="s">
        <v>54</v>
      </c>
      <c r="B182" t="s">
        <v>17</v>
      </c>
      <c r="C182" t="s">
        <v>18</v>
      </c>
      <c r="D182" t="s">
        <v>19</v>
      </c>
      <c r="E182" s="4" t="s">
        <v>20</v>
      </c>
      <c r="F182" s="2">
        <v>6829.16</v>
      </c>
      <c r="G182" s="2">
        <v>6776.16</v>
      </c>
      <c r="H182" s="2">
        <f>FinanceTable[[#This Row],[Actual]]-FinanceTable[[#This Row],[Budget]]</f>
        <v>-53</v>
      </c>
      <c r="I182" s="3">
        <f>IF(FinanceTable[[#This Row],[Budget]]=0,0,FinanceTable[[#This Row],[Variance]]/FinanceTable[[#This Row],[Budget]])</f>
        <v>-7.760837350420843E-3</v>
      </c>
      <c r="J182" s="4" t="s">
        <v>179</v>
      </c>
      <c r="K182" t="s">
        <v>45</v>
      </c>
      <c r="L182" t="s">
        <v>46</v>
      </c>
      <c r="M18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6776.16</v>
      </c>
      <c r="N18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83" spans="1:16" ht="60.75">
      <c r="A183" s="1" t="s">
        <v>28</v>
      </c>
      <c r="B183" t="s">
        <v>103</v>
      </c>
      <c r="C183" t="s">
        <v>30</v>
      </c>
      <c r="D183" t="s">
        <v>318</v>
      </c>
      <c r="E183" s="4" t="s">
        <v>344</v>
      </c>
      <c r="F183" s="2">
        <v>99602.09</v>
      </c>
      <c r="G183" s="2">
        <v>95297.86</v>
      </c>
      <c r="H183" s="2">
        <f>FinanceTable[[#This Row],[Actual]]-FinanceTable[[#This Row],[Budget]]</f>
        <v>-4304.2299999999959</v>
      </c>
      <c r="I183" s="3">
        <f>IF(FinanceTable[[#This Row],[Budget]]=0,0,FinanceTable[[#This Row],[Variance]]/FinanceTable[[#This Row],[Budget]])</f>
        <v>-4.3214253837444538E-2</v>
      </c>
      <c r="J183" s="4" t="s">
        <v>277</v>
      </c>
      <c r="K183" t="s">
        <v>45</v>
      </c>
      <c r="L183" t="s">
        <v>46</v>
      </c>
      <c r="M18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95297.86</v>
      </c>
      <c r="N18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84" spans="1:16" ht="76.5">
      <c r="A184" s="1" t="s">
        <v>33</v>
      </c>
      <c r="B184" t="s">
        <v>103</v>
      </c>
      <c r="C184" t="s">
        <v>99</v>
      </c>
      <c r="D184" t="s">
        <v>324</v>
      </c>
      <c r="E184" s="4" t="s">
        <v>230</v>
      </c>
      <c r="F184" s="2">
        <v>10491.6</v>
      </c>
      <c r="G184" s="2">
        <v>12732.44</v>
      </c>
      <c r="H184" s="2">
        <f>FinanceTable[[#This Row],[Actual]]-FinanceTable[[#This Row],[Budget]]</f>
        <v>2240.84</v>
      </c>
      <c r="I184" s="3">
        <f>IF(FinanceTable[[#This Row],[Budget]]=0,0,FinanceTable[[#This Row],[Variance]]/FinanceTable[[#This Row],[Budget]])</f>
        <v>0.21358420069388845</v>
      </c>
      <c r="J184" s="4" t="s">
        <v>266</v>
      </c>
      <c r="K184" t="s">
        <v>45</v>
      </c>
      <c r="L184" t="s">
        <v>46</v>
      </c>
      <c r="M18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12732.44</v>
      </c>
      <c r="N18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85" spans="1:16" ht="60.75">
      <c r="A185" s="1" t="s">
        <v>110</v>
      </c>
      <c r="B185" t="s">
        <v>29</v>
      </c>
      <c r="C185" t="s">
        <v>67</v>
      </c>
      <c r="D185" t="s">
        <v>94</v>
      </c>
      <c r="E185" s="4" t="s">
        <v>345</v>
      </c>
      <c r="F185" s="2">
        <v>36238.97</v>
      </c>
      <c r="G185" s="2">
        <v>44507.92</v>
      </c>
      <c r="H185" s="2">
        <f>FinanceTable[[#This Row],[Actual]]-FinanceTable[[#This Row],[Budget]]</f>
        <v>8268.9499999999971</v>
      </c>
      <c r="I185" s="3">
        <f>IF(FinanceTable[[#This Row],[Budget]]=0,0,FinanceTable[[#This Row],[Variance]]/FinanceTable[[#This Row],[Budget]])</f>
        <v>0.22817839469499263</v>
      </c>
      <c r="J185" s="4" t="s">
        <v>280</v>
      </c>
      <c r="K185" t="s">
        <v>45</v>
      </c>
      <c r="L185" t="s">
        <v>46</v>
      </c>
      <c r="M18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44507.92</v>
      </c>
      <c r="N185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5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86" spans="1:16" ht="76.5">
      <c r="A186" s="1" t="s">
        <v>54</v>
      </c>
      <c r="B186" t="s">
        <v>24</v>
      </c>
      <c r="C186" t="s">
        <v>25</v>
      </c>
      <c r="D186" t="s">
        <v>153</v>
      </c>
      <c r="E186" s="4" t="s">
        <v>346</v>
      </c>
      <c r="F186" s="2">
        <v>68931.539999999994</v>
      </c>
      <c r="G186" s="2">
        <v>65355.4</v>
      </c>
      <c r="H186" s="2">
        <f>FinanceTable[[#This Row],[Actual]]-FinanceTable[[#This Row],[Budget]]</f>
        <v>-3576.1399999999921</v>
      </c>
      <c r="I186" s="3">
        <f>IF(FinanceTable[[#This Row],[Budget]]=0,0,FinanceTable[[#This Row],[Variance]]/FinanceTable[[#This Row],[Budget]])</f>
        <v>-5.187958951736741E-2</v>
      </c>
      <c r="J186" s="4" t="s">
        <v>109</v>
      </c>
      <c r="K186" t="s">
        <v>45</v>
      </c>
      <c r="L186" t="s">
        <v>46</v>
      </c>
      <c r="M18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65355.4</v>
      </c>
      <c r="N186" s="2">
        <f>IF(FinanceTable[[#This Row],[Account]]="Advertising",IFERROR(FinanceTable[[#This Row],[Actual]]/(MAX(1,SUMIFS(FinanceTable[Actual],FinanceTable[Month],FinanceTable[[#This Row],[Month]],FinanceTable[Account],"Revenue")/1000)),""),"")</f>
        <v>311.48630843633021</v>
      </c>
      <c r="O186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3.2104139826242362</v>
      </c>
      <c r="P18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87" spans="1:16" ht="60.75">
      <c r="A187" s="1" t="s">
        <v>33</v>
      </c>
      <c r="B187" t="s">
        <v>103</v>
      </c>
      <c r="C187" t="s">
        <v>83</v>
      </c>
      <c r="D187" t="s">
        <v>84</v>
      </c>
      <c r="E187" s="4" t="s">
        <v>347</v>
      </c>
      <c r="F187" s="2">
        <v>1790.28</v>
      </c>
      <c r="G187" s="2">
        <v>2118.56</v>
      </c>
      <c r="H187" s="2">
        <f>FinanceTable[[#This Row],[Actual]]-FinanceTable[[#This Row],[Budget]]</f>
        <v>328.28</v>
      </c>
      <c r="I187" s="3">
        <f>IF(FinanceTable[[#This Row],[Budget]]=0,0,FinanceTable[[#This Row],[Variance]]/FinanceTable[[#This Row],[Budget]])</f>
        <v>0.18336796478763098</v>
      </c>
      <c r="J187" s="4" t="s">
        <v>348</v>
      </c>
      <c r="K187" t="s">
        <v>45</v>
      </c>
      <c r="L187" t="s">
        <v>46</v>
      </c>
      <c r="M18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2118.56</v>
      </c>
      <c r="N18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88" spans="1:16" ht="60.75">
      <c r="A188" s="1" t="s">
        <v>93</v>
      </c>
      <c r="B188" t="s">
        <v>103</v>
      </c>
      <c r="C188" t="s">
        <v>83</v>
      </c>
      <c r="D188" t="s">
        <v>84</v>
      </c>
      <c r="E188" s="4" t="s">
        <v>349</v>
      </c>
      <c r="F188" s="2">
        <v>4023.22</v>
      </c>
      <c r="G188" s="2">
        <v>3311.42</v>
      </c>
      <c r="H188" s="2">
        <f>FinanceTable[[#This Row],[Actual]]-FinanceTable[[#This Row],[Budget]]</f>
        <v>-711.79999999999973</v>
      </c>
      <c r="I188" s="3">
        <f>IF(FinanceTable[[#This Row],[Budget]]=0,0,FinanceTable[[#This Row],[Variance]]/FinanceTable[[#This Row],[Budget]])</f>
        <v>-0.17692296220440337</v>
      </c>
      <c r="J188" s="4" t="s">
        <v>248</v>
      </c>
      <c r="K188" t="s">
        <v>45</v>
      </c>
      <c r="L188" t="s">
        <v>46</v>
      </c>
      <c r="M18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3311.42</v>
      </c>
      <c r="N18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189" spans="1:16" ht="60.75">
      <c r="A189" s="1" t="s">
        <v>40</v>
      </c>
      <c r="B189" t="s">
        <v>29</v>
      </c>
      <c r="C189" t="s">
        <v>67</v>
      </c>
      <c r="E189" s="4" t="s">
        <v>350</v>
      </c>
      <c r="F189" s="2">
        <v>86826.38</v>
      </c>
      <c r="G189" s="2">
        <v>83097.070000000007</v>
      </c>
      <c r="H189" s="2">
        <f>FinanceTable[[#This Row],[Actual]]-FinanceTable[[#This Row],[Budget]]</f>
        <v>-3729.3099999999977</v>
      </c>
      <c r="I189" s="3">
        <f>IF(FinanceTable[[#This Row],[Budget]]=0,0,FinanceTable[[#This Row],[Variance]]/FinanceTable[[#This Row],[Budget]])</f>
        <v>-4.2951347274871959E-2</v>
      </c>
      <c r="J189" s="4" t="s">
        <v>351</v>
      </c>
      <c r="K189" t="s">
        <v>38</v>
      </c>
      <c r="L189" t="s">
        <v>22</v>
      </c>
      <c r="M18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49442.756649999996</v>
      </c>
      <c r="N18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8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8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28</v>
      </c>
    </row>
    <row r="190" spans="1:16" ht="60.75">
      <c r="A190" s="1" t="s">
        <v>110</v>
      </c>
      <c r="B190" t="s">
        <v>24</v>
      </c>
      <c r="C190" t="s">
        <v>55</v>
      </c>
      <c r="D190" t="s">
        <v>272</v>
      </c>
      <c r="E190" s="4" t="s">
        <v>185</v>
      </c>
      <c r="F190" s="2">
        <v>20908.3</v>
      </c>
      <c r="G190" s="2">
        <v>21800.49</v>
      </c>
      <c r="H190" s="2">
        <f>FinanceTable[[#This Row],[Actual]]-FinanceTable[[#This Row],[Budget]]</f>
        <v>892.19000000000233</v>
      </c>
      <c r="I190" s="3">
        <f>IF(FinanceTable[[#This Row],[Budget]]=0,0,FinanceTable[[#This Row],[Variance]]/FinanceTable[[#This Row],[Budget]])</f>
        <v>4.2671570620280097E-2</v>
      </c>
      <c r="J190" s="4" t="s">
        <v>113</v>
      </c>
      <c r="K190" t="s">
        <v>45</v>
      </c>
      <c r="L190" t="s">
        <v>46</v>
      </c>
      <c r="M19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21800.49</v>
      </c>
      <c r="N19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91" spans="1:16" ht="60.75">
      <c r="A191" s="1" t="s">
        <v>93</v>
      </c>
      <c r="B191" t="s">
        <v>34</v>
      </c>
      <c r="C191" t="s">
        <v>62</v>
      </c>
      <c r="D191" t="s">
        <v>232</v>
      </c>
      <c r="E191" s="4" t="s">
        <v>316</v>
      </c>
      <c r="F191" s="2">
        <v>3491.56</v>
      </c>
      <c r="G191" s="2">
        <v>3302.47</v>
      </c>
      <c r="H191" s="2">
        <f>FinanceTable[[#This Row],[Actual]]-FinanceTable[[#This Row],[Budget]]</f>
        <v>-189.09000000000015</v>
      </c>
      <c r="I191" s="3">
        <f>IF(FinanceTable[[#This Row],[Budget]]=0,0,FinanceTable[[#This Row],[Variance]]/FinanceTable[[#This Row],[Budget]])</f>
        <v>-5.4156308355004686E-2</v>
      </c>
      <c r="J191" s="4" t="s">
        <v>147</v>
      </c>
      <c r="K191" t="s">
        <v>45</v>
      </c>
      <c r="L191" t="s">
        <v>46</v>
      </c>
      <c r="M19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3302.47</v>
      </c>
      <c r="N191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1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92" spans="1:16" ht="76.5">
      <c r="A192" s="1" t="s">
        <v>54</v>
      </c>
      <c r="B192" t="s">
        <v>24</v>
      </c>
      <c r="C192" t="s">
        <v>99</v>
      </c>
      <c r="D192" t="s">
        <v>229</v>
      </c>
      <c r="E192" s="4" t="s">
        <v>250</v>
      </c>
      <c r="F192" s="2">
        <v>19750.97</v>
      </c>
      <c r="G192" s="2">
        <v>18637.53</v>
      </c>
      <c r="H192" s="2">
        <f>FinanceTable[[#This Row],[Actual]]-FinanceTable[[#This Row],[Budget]]</f>
        <v>-1113.4400000000023</v>
      </c>
      <c r="I192" s="3">
        <f>IF(FinanceTable[[#This Row],[Budget]]=0,0,FinanceTable[[#This Row],[Variance]]/FinanceTable[[#This Row],[Budget]])</f>
        <v>-5.6373940115346348E-2</v>
      </c>
      <c r="J192" s="4" t="s">
        <v>352</v>
      </c>
      <c r="K192" t="s">
        <v>45</v>
      </c>
      <c r="L192" t="s">
        <v>46</v>
      </c>
      <c r="M192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18637.53</v>
      </c>
      <c r="N192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2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2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93" spans="1:16" ht="60.75">
      <c r="A193" s="1" t="s">
        <v>93</v>
      </c>
      <c r="B193" t="s">
        <v>24</v>
      </c>
      <c r="C193" t="s">
        <v>83</v>
      </c>
      <c r="D193" t="s">
        <v>353</v>
      </c>
      <c r="E193" s="4" t="s">
        <v>300</v>
      </c>
      <c r="F193" s="2">
        <v>17059.900000000001</v>
      </c>
      <c r="G193" s="2">
        <v>16454.03</v>
      </c>
      <c r="H193" s="2">
        <f>FinanceTable[[#This Row],[Actual]]-FinanceTable[[#This Row],[Budget]]</f>
        <v>-605.87000000000262</v>
      </c>
      <c r="I193" s="3">
        <f>IF(FinanceTable[[#This Row],[Budget]]=0,0,FinanceTable[[#This Row],[Variance]]/FinanceTable[[#This Row],[Budget]])</f>
        <v>-3.5514276168090234E-2</v>
      </c>
      <c r="J193" s="4" t="s">
        <v>248</v>
      </c>
      <c r="K193" t="s">
        <v>45</v>
      </c>
      <c r="L193" t="s">
        <v>46</v>
      </c>
      <c r="M193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16454.03</v>
      </c>
      <c r="N193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3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3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194" spans="1:16" ht="60.75">
      <c r="A194" s="1" t="s">
        <v>33</v>
      </c>
      <c r="B194" t="s">
        <v>103</v>
      </c>
      <c r="C194" t="s">
        <v>83</v>
      </c>
      <c r="D194" t="s">
        <v>203</v>
      </c>
      <c r="E194" s="4" t="s">
        <v>347</v>
      </c>
      <c r="F194" s="2">
        <v>17046.009999999998</v>
      </c>
      <c r="G194" s="2">
        <v>18213.740000000002</v>
      </c>
      <c r="H194" s="2">
        <f>FinanceTable[[#This Row],[Actual]]-FinanceTable[[#This Row],[Budget]]</f>
        <v>1167.7300000000032</v>
      </c>
      <c r="I194" s="3">
        <f>IF(FinanceTable[[#This Row],[Budget]]=0,0,FinanceTable[[#This Row],[Variance]]/FinanceTable[[#This Row],[Budget]])</f>
        <v>6.8504594330286286E-2</v>
      </c>
      <c r="J194" s="4" t="s">
        <v>348</v>
      </c>
      <c r="K194" t="s">
        <v>21</v>
      </c>
      <c r="L194" t="s">
        <v>46</v>
      </c>
      <c r="M194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13660.305</v>
      </c>
      <c r="N194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4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4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23</v>
      </c>
    </row>
    <row r="195" spans="1:16" ht="76.5">
      <c r="A195" s="1" t="s">
        <v>47</v>
      </c>
      <c r="B195" t="s">
        <v>34</v>
      </c>
      <c r="C195" t="s">
        <v>25</v>
      </c>
      <c r="D195" t="s">
        <v>134</v>
      </c>
      <c r="E195" s="4" t="s">
        <v>288</v>
      </c>
      <c r="F195" s="2">
        <v>19842.07</v>
      </c>
      <c r="G195" s="2">
        <v>19451.150000000001</v>
      </c>
      <c r="H195" s="2">
        <f>FinanceTable[[#This Row],[Actual]]-FinanceTable[[#This Row],[Budget]]</f>
        <v>-390.91999999999825</v>
      </c>
      <c r="I195" s="3">
        <f>IF(FinanceTable[[#This Row],[Budget]]=0,0,FinanceTable[[#This Row],[Variance]]/FinanceTable[[#This Row],[Budget]])</f>
        <v>-1.9701573474944816E-2</v>
      </c>
      <c r="J195" s="4" t="s">
        <v>156</v>
      </c>
      <c r="K195" t="s">
        <v>45</v>
      </c>
      <c r="L195" t="s">
        <v>46</v>
      </c>
      <c r="M195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19451.150000000001</v>
      </c>
      <c r="N195" s="2">
        <f>IF(FinanceTable[[#This Row],[Account]]="Advertising",IFERROR(FinanceTable[[#This Row],[Actual]]/(MAX(1,SUMIFS(FinanceTable[Actual],FinanceTable[Month],FinanceTable[[#This Row],[Month]],FinanceTable[Account],"Revenue")/1000)),""),"")</f>
        <v>95.44086558814891</v>
      </c>
      <c r="O195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4.9238569441909599</v>
      </c>
      <c r="P195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3</v>
      </c>
    </row>
    <row r="196" spans="1:16" ht="60.75">
      <c r="A196" s="1" t="s">
        <v>71</v>
      </c>
      <c r="B196" t="s">
        <v>29</v>
      </c>
      <c r="C196" t="s">
        <v>35</v>
      </c>
      <c r="D196" t="s">
        <v>163</v>
      </c>
      <c r="E196" s="4" t="s">
        <v>238</v>
      </c>
      <c r="F196" s="2">
        <v>3799.11</v>
      </c>
      <c r="G196" s="2">
        <v>3527.11</v>
      </c>
      <c r="H196" s="2">
        <f>FinanceTable[[#This Row],[Actual]]-FinanceTable[[#This Row],[Budget]]</f>
        <v>-272</v>
      </c>
      <c r="I196" s="3">
        <f>IF(FinanceTable[[#This Row],[Budget]]=0,0,FinanceTable[[#This Row],[Variance]]/FinanceTable[[#This Row],[Budget]])</f>
        <v>-7.1595715838709592E-2</v>
      </c>
      <c r="J196" s="4" t="s">
        <v>239</v>
      </c>
      <c r="K196" t="s">
        <v>45</v>
      </c>
      <c r="L196" t="s">
        <v>46</v>
      </c>
      <c r="M196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3527.11</v>
      </c>
      <c r="N196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6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6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4</v>
      </c>
    </row>
    <row r="197" spans="1:16" ht="60.75">
      <c r="A197" s="1" t="s">
        <v>40</v>
      </c>
      <c r="B197" t="s">
        <v>59</v>
      </c>
      <c r="C197" t="s">
        <v>35</v>
      </c>
      <c r="D197" t="s">
        <v>75</v>
      </c>
      <c r="E197" s="4" t="s">
        <v>151</v>
      </c>
      <c r="F197" s="2">
        <v>2680.27</v>
      </c>
      <c r="G197" s="2">
        <v>2809.49</v>
      </c>
      <c r="H197" s="2">
        <f>FinanceTable[[#This Row],[Actual]]-FinanceTable[[#This Row],[Budget]]</f>
        <v>129.2199999999998</v>
      </c>
      <c r="I197" s="3">
        <f>IF(FinanceTable[[#This Row],[Budget]]=0,0,FinanceTable[[#This Row],[Variance]]/FinanceTable[[#This Row],[Budget]])</f>
        <v>4.821156077559343E-2</v>
      </c>
      <c r="J197" s="4" t="s">
        <v>152</v>
      </c>
      <c r="K197" t="s">
        <v>45</v>
      </c>
      <c r="L197" t="s">
        <v>46</v>
      </c>
      <c r="M197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2809.49</v>
      </c>
      <c r="N197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7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7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5</v>
      </c>
    </row>
    <row r="198" spans="1:16" ht="60.75">
      <c r="A198" s="1" t="s">
        <v>40</v>
      </c>
      <c r="B198" t="s">
        <v>29</v>
      </c>
      <c r="C198" t="s">
        <v>41</v>
      </c>
      <c r="D198" t="s">
        <v>178</v>
      </c>
      <c r="E198" s="4" t="s">
        <v>128</v>
      </c>
      <c r="F198" s="2">
        <v>0</v>
      </c>
      <c r="G198" s="2">
        <v>2174.59</v>
      </c>
      <c r="H198" s="2">
        <f>FinanceTable[[#This Row],[Actual]]-FinanceTable[[#This Row],[Budget]]</f>
        <v>2174.59</v>
      </c>
      <c r="I198" s="3">
        <f>IF(FinanceTable[[#This Row],[Budget]]=0,0,FinanceTable[[#This Row],[Variance]]/FinanceTable[[#This Row],[Budget]])</f>
        <v>0</v>
      </c>
      <c r="J198" s="4" t="s">
        <v>44</v>
      </c>
      <c r="K198" t="s">
        <v>45</v>
      </c>
      <c r="L198" t="s">
        <v>46</v>
      </c>
      <c r="M198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2174.59</v>
      </c>
      <c r="N198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8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8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0</v>
      </c>
    </row>
    <row r="199" spans="1:16" ht="60.75">
      <c r="A199" s="1" t="s">
        <v>16</v>
      </c>
      <c r="B199" t="s">
        <v>103</v>
      </c>
      <c r="C199" t="s">
        <v>18</v>
      </c>
      <c r="D199" t="s">
        <v>72</v>
      </c>
      <c r="E199" s="4" t="s">
        <v>271</v>
      </c>
      <c r="F199" s="2">
        <v>5857.72</v>
      </c>
      <c r="G199" s="2">
        <v>5983.1</v>
      </c>
      <c r="H199" s="2">
        <f>FinanceTable[[#This Row],[Actual]]-FinanceTable[[#This Row],[Budget]]</f>
        <v>125.38000000000011</v>
      </c>
      <c r="I199" s="3">
        <f>IF(FinanceTable[[#This Row],[Budget]]=0,0,FinanceTable[[#This Row],[Variance]]/FinanceTable[[#This Row],[Budget]])</f>
        <v>2.1404232363445179E-2</v>
      </c>
      <c r="J199" s="4" t="s">
        <v>214</v>
      </c>
      <c r="K199" t="s">
        <v>45</v>
      </c>
      <c r="L199" t="s">
        <v>46</v>
      </c>
      <c r="M199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5983.1</v>
      </c>
      <c r="N199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199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199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1</v>
      </c>
    </row>
    <row r="200" spans="1:16" ht="60.75">
      <c r="A200" s="1" t="s">
        <v>54</v>
      </c>
      <c r="B200" t="s">
        <v>24</v>
      </c>
      <c r="C200" t="s">
        <v>55</v>
      </c>
      <c r="D200" t="s">
        <v>56</v>
      </c>
      <c r="E200" s="4" t="s">
        <v>57</v>
      </c>
      <c r="F200" s="2">
        <v>66243.16</v>
      </c>
      <c r="G200" s="2">
        <v>76012.75</v>
      </c>
      <c r="H200" s="2">
        <f>FinanceTable[[#This Row],[Actual]]-FinanceTable[[#This Row],[Budget]]</f>
        <v>9769.5899999999965</v>
      </c>
      <c r="I200" s="3">
        <f>IF(FinanceTable[[#This Row],[Budget]]=0,0,FinanceTable[[#This Row],[Variance]]/FinanceTable[[#This Row],[Budget]])</f>
        <v>0.14748073612430318</v>
      </c>
      <c r="J200" s="4" t="s">
        <v>58</v>
      </c>
      <c r="K200" t="s">
        <v>45</v>
      </c>
      <c r="L200" t="s">
        <v>46</v>
      </c>
      <c r="M200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76012.75</v>
      </c>
      <c r="N200" s="2" t="str">
        <f>IF(FinanceTable[[#This Row],[Account]]="Advertising",IFERROR(FinanceTable[[#This Row],[Actual]]/(MAX(1,SUMIFS(FinanceTable[Actual],FinanceTable[Month],FinanceTable[[#This Row],[Month]],FinanceTable[Account],"Revenue")/1000)),""),"")</f>
        <v/>
      </c>
      <c r="O200" s="5" t="str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/>
      </c>
      <c r="P200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</v>
      </c>
    </row>
    <row r="201" spans="1:16" ht="76.5">
      <c r="A201" s="1" t="s">
        <v>28</v>
      </c>
      <c r="B201" t="s">
        <v>59</v>
      </c>
      <c r="C201" t="s">
        <v>25</v>
      </c>
      <c r="E201" s="4" t="s">
        <v>216</v>
      </c>
      <c r="F201" s="2">
        <v>6648.5</v>
      </c>
      <c r="G201" s="2">
        <v>5543.68</v>
      </c>
      <c r="H201" s="2">
        <f>FinanceTable[[#This Row],[Actual]]-FinanceTable[[#This Row],[Budget]]</f>
        <v>-1104.8199999999997</v>
      </c>
      <c r="I201" s="3">
        <f>IF(FinanceTable[[#This Row],[Budget]]=0,0,FinanceTable[[#This Row],[Variance]]/FinanceTable[[#This Row],[Budget]])</f>
        <v>-0.16617582913439116</v>
      </c>
      <c r="J201" s="4" t="s">
        <v>173</v>
      </c>
      <c r="K201" t="s">
        <v>38</v>
      </c>
      <c r="L201" t="s">
        <v>22</v>
      </c>
      <c r="M201" s="2">
        <f>FinanceTable[[#This Row],[Actual]]*IF(FinanceTable[[#This Row],[RiskFlag]]="Outlier",0.5,IF(FinanceTable[[#This Row],[RiskFlag]]="Missing data",0.7,1))*IF(FinanceTable[[#This Row],[ApprovalStatus]]="Needs review",0.85,IF(FinanceTable[[#This Row],[ApprovalStatus]]="Missing receipt",0.75,1))</f>
        <v>3298.4895999999999</v>
      </c>
      <c r="N201" s="2">
        <f>IF(FinanceTable[[#This Row],[Account]]="Advertising",IFERROR(FinanceTable[[#This Row],[Actual]]/(MAX(1,SUMIFS(FinanceTable[Actual],FinanceTable[Month],FinanceTable[[#This Row],[Month]],FinanceTable[Account],"Revenue")/1000)),""),"")</f>
        <v>12.740706440787381</v>
      </c>
      <c r="O201" s="5">
        <f>IF(FinanceTable[[#This Row],[Account]]="Advertising",IFERROR(SUMIFS(FinanceTable[Actual],FinanceTable[Month],FinanceTable[[#This Row],[Month]],FinanceTable[Department],FinanceTable[[#This Row],[Department]],FinanceTable[Account],"Revenue")/FinanceTable[[#This Row],[Actual]],""),"")</f>
        <v>0</v>
      </c>
      <c r="P201" s="6">
        <f>IF(FinanceTable[[#This Row],[ApprovalStatus]]="Approved",MOD(ROW(),6),IF(FinanceTable[[#This Row],[ApprovalStatus]]="Needs review",5+MOD(ROW(),16),15+MOD(ROW(),31)))+IF(FinanceTable[[#This Row],[RiskFlag]]="Missing data",10,IF(FinanceTable[[#This Row],[RiskFlag]]="Outlier",3,0))</f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2026-01-17T23:58:43Z</dcterms:created>
  <dcterms:modified xsi:type="dcterms:W3CDTF">2026-01-18T18:54:37Z</dcterms:modified>
  <cp:category/>
  <cp:contentStatus/>
</cp:coreProperties>
</file>