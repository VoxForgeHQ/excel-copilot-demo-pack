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81EC0467-096D-40D7-A37F-06877A72F5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rketing_Campaig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J2" i="2" a="1"/>
  <c r="J2" i="2"/>
  <c r="J3" i="2" a="1"/>
  <c r="J3" i="2"/>
  <c r="J4" i="2" a="1"/>
  <c r="J4" i="2"/>
  <c r="J5" i="2" a="1"/>
  <c r="J5" i="2"/>
  <c r="J6" i="2" a="1"/>
  <c r="J6" i="2"/>
  <c r="J7" i="2" a="1"/>
  <c r="J7" i="2"/>
  <c r="J8" i="2" a="1"/>
  <c r="J8" i="2"/>
  <c r="J9" i="2" a="1"/>
  <c r="J9" i="2"/>
  <c r="J10" i="2" a="1"/>
  <c r="J10" i="2"/>
  <c r="J11" i="2" a="1"/>
  <c r="J11" i="2"/>
  <c r="J12" i="2" a="1"/>
  <c r="J12" i="2"/>
  <c r="J13" i="2" a="1"/>
  <c r="J13" i="2"/>
  <c r="J14" i="2" a="1"/>
  <c r="J14" i="2"/>
  <c r="J15" i="2" a="1"/>
  <c r="J15" i="2"/>
  <c r="J16" i="2" a="1"/>
  <c r="J16" i="2"/>
  <c r="J17" i="2" a="1"/>
  <c r="J17" i="2"/>
  <c r="J18" i="2" a="1"/>
  <c r="J18" i="2"/>
  <c r="J19" i="2" a="1"/>
  <c r="J19" i="2"/>
  <c r="J20" i="2" a="1"/>
  <c r="J20" i="2"/>
  <c r="J21" i="2" a="1"/>
  <c r="J21" i="2"/>
  <c r="J22" i="2" a="1"/>
  <c r="J22" i="2"/>
  <c r="J23" i="2" a="1"/>
  <c r="J23" i="2"/>
  <c r="J24" i="2" a="1"/>
  <c r="J24" i="2"/>
  <c r="J25" i="2" a="1"/>
  <c r="J25" i="2"/>
  <c r="J26" i="2" a="1"/>
  <c r="J26" i="2"/>
  <c r="J27" i="2" a="1"/>
  <c r="J27" i="2"/>
  <c r="J28" i="2" a="1"/>
  <c r="J28" i="2"/>
  <c r="J29" i="2" a="1"/>
  <c r="J29" i="2"/>
  <c r="J30" i="2" a="1"/>
  <c r="J30" i="2"/>
  <c r="J31" i="2" a="1"/>
  <c r="J31" i="2"/>
  <c r="J32" i="2" a="1"/>
  <c r="J32" i="2"/>
  <c r="J33" i="2" a="1"/>
  <c r="J33" i="2"/>
  <c r="J34" i="2" a="1"/>
  <c r="J34" i="2"/>
  <c r="J35" i="2" a="1"/>
  <c r="J35" i="2"/>
  <c r="J36" i="2" a="1"/>
  <c r="J36" i="2"/>
  <c r="J37" i="2" a="1"/>
  <c r="J37" i="2"/>
  <c r="J38" i="2" a="1"/>
  <c r="J38" i="2"/>
  <c r="J39" i="2" a="1"/>
  <c r="J39" i="2"/>
  <c r="J40" i="2" a="1"/>
  <c r="J40" i="2"/>
  <c r="J41" i="2" a="1"/>
  <c r="J41" i="2"/>
  <c r="J42" i="2" a="1"/>
  <c r="J42" i="2"/>
  <c r="J43" i="2" a="1"/>
  <c r="J43" i="2"/>
  <c r="J44" i="2" a="1"/>
  <c r="J44" i="2"/>
  <c r="J45" i="2" a="1"/>
  <c r="J45" i="2"/>
  <c r="J46" i="2" a="1"/>
  <c r="J46" i="2"/>
  <c r="J47" i="2" a="1"/>
  <c r="J47" i="2"/>
  <c r="J48" i="2" a="1"/>
  <c r="J48" i="2"/>
  <c r="J49" i="2" a="1"/>
  <c r="J49" i="2"/>
  <c r="J50" i="2" a="1"/>
  <c r="J50" i="2"/>
  <c r="J51" i="2" a="1"/>
  <c r="J51" i="2"/>
  <c r="J52" i="2" a="1"/>
  <c r="J52" i="2"/>
  <c r="J53" i="2" a="1"/>
  <c r="J53" i="2"/>
  <c r="J54" i="2" a="1"/>
  <c r="J54" i="2"/>
  <c r="J55" i="2" a="1"/>
  <c r="J55" i="2"/>
  <c r="J56" i="2" a="1"/>
  <c r="J56" i="2"/>
  <c r="J57" i="2" a="1"/>
  <c r="J57" i="2"/>
  <c r="J58" i="2" a="1"/>
  <c r="J58" i="2"/>
  <c r="J59" i="2" a="1"/>
  <c r="J59" i="2"/>
  <c r="J60" i="2" a="1"/>
  <c r="J60" i="2"/>
  <c r="J61" i="2" a="1"/>
  <c r="J61" i="2"/>
  <c r="J62" i="2" a="1"/>
  <c r="J62" i="2"/>
  <c r="J63" i="2" a="1"/>
  <c r="J63" i="2"/>
  <c r="J64" i="2" a="1"/>
  <c r="J64" i="2"/>
  <c r="J65" i="2" a="1"/>
  <c r="J65" i="2"/>
  <c r="J66" i="2" a="1"/>
  <c r="J66" i="2"/>
  <c r="J67" i="2" a="1"/>
  <c r="J67" i="2"/>
  <c r="J68" i="2" a="1"/>
  <c r="J68" i="2"/>
  <c r="J69" i="2" a="1"/>
  <c r="J69" i="2"/>
  <c r="J70" i="2" a="1"/>
  <c r="J70" i="2"/>
  <c r="J71" i="2" a="1"/>
  <c r="J71" i="2"/>
  <c r="J72" i="2" a="1"/>
  <c r="J72" i="2"/>
  <c r="J73" i="2" a="1"/>
  <c r="J73" i="2"/>
  <c r="J74" i="2" a="1"/>
  <c r="J74" i="2"/>
  <c r="J75" i="2" a="1"/>
  <c r="J75" i="2"/>
  <c r="J76" i="2" a="1"/>
  <c r="J76" i="2"/>
  <c r="J77" i="2" a="1"/>
  <c r="J77" i="2"/>
  <c r="J78" i="2" a="1"/>
  <c r="J78" i="2"/>
  <c r="J79" i="2" a="1"/>
  <c r="J79" i="2"/>
  <c r="J80" i="2" a="1"/>
  <c r="J80" i="2"/>
  <c r="J81" i="2" a="1"/>
  <c r="J81" i="2"/>
  <c r="J82" i="2" a="1"/>
  <c r="J82" i="2"/>
  <c r="J83" i="2" a="1"/>
  <c r="J83" i="2"/>
  <c r="J84" i="2" a="1"/>
  <c r="J84" i="2"/>
  <c r="J85" i="2" a="1"/>
  <c r="J85" i="2"/>
  <c r="J86" i="2" a="1"/>
  <c r="J86" i="2"/>
  <c r="J87" i="2" a="1"/>
  <c r="J87" i="2"/>
  <c r="J88" i="2" a="1"/>
  <c r="J88" i="2"/>
  <c r="J89" i="2" a="1"/>
  <c r="J89" i="2"/>
  <c r="J90" i="2" a="1"/>
  <c r="J90" i="2"/>
  <c r="J91" i="2" a="1"/>
  <c r="J91" i="2"/>
  <c r="J92" i="2" a="1"/>
  <c r="J92" i="2"/>
  <c r="J93" i="2" a="1"/>
  <c r="J93" i="2"/>
  <c r="J94" i="2" a="1"/>
  <c r="J94" i="2"/>
  <c r="J95" i="2" a="1"/>
  <c r="J95" i="2"/>
  <c r="J96" i="2" a="1"/>
  <c r="J96" i="2"/>
  <c r="J97" i="2" a="1"/>
  <c r="J97" i="2"/>
  <c r="J98" i="2" a="1"/>
  <c r="J98" i="2"/>
  <c r="J99" i="2" a="1"/>
  <c r="J99" i="2"/>
  <c r="J100" i="2" a="1"/>
  <c r="J100" i="2"/>
  <c r="J101" i="2" a="1"/>
  <c r="J101" i="2"/>
  <c r="J102" i="2" a="1"/>
  <c r="J102" i="2"/>
  <c r="J103" i="2" a="1"/>
  <c r="J103" i="2"/>
  <c r="J104" i="2" a="1"/>
  <c r="J104" i="2"/>
  <c r="J105" i="2" a="1"/>
  <c r="J105" i="2"/>
  <c r="J106" i="2" a="1"/>
  <c r="J106" i="2"/>
  <c r="J107" i="2" a="1"/>
  <c r="J107" i="2"/>
  <c r="J108" i="2" a="1"/>
  <c r="J108" i="2"/>
  <c r="J109" i="2" a="1"/>
  <c r="J109" i="2"/>
  <c r="J110" i="2" a="1"/>
  <c r="J110" i="2"/>
  <c r="J111" i="2" a="1"/>
  <c r="J111" i="2"/>
  <c r="J112" i="2" a="1"/>
  <c r="J112" i="2"/>
  <c r="J113" i="2" a="1"/>
  <c r="J113" i="2"/>
  <c r="J114" i="2" a="1"/>
  <c r="J114" i="2"/>
  <c r="J115" i="2" a="1"/>
  <c r="J115" i="2"/>
  <c r="J116" i="2" a="1"/>
  <c r="J116" i="2"/>
  <c r="J117" i="2" a="1"/>
  <c r="J117" i="2"/>
  <c r="J118" i="2" a="1"/>
  <c r="J118" i="2"/>
  <c r="J119" i="2" a="1"/>
  <c r="J119" i="2"/>
  <c r="J120" i="2" a="1"/>
  <c r="J120" i="2"/>
  <c r="J121" i="2" a="1"/>
  <c r="J121" i="2"/>
  <c r="J122" i="2" a="1"/>
  <c r="J122" i="2"/>
  <c r="J123" i="2" a="1"/>
  <c r="J123" i="2"/>
  <c r="J124" i="2" a="1"/>
  <c r="J124" i="2"/>
  <c r="J125" i="2" a="1"/>
  <c r="J125" i="2"/>
  <c r="J126" i="2" a="1"/>
  <c r="J126" i="2"/>
  <c r="J127" i="2" a="1"/>
  <c r="J127" i="2"/>
  <c r="J128" i="2" a="1"/>
  <c r="J128" i="2"/>
  <c r="J129" i="2" a="1"/>
  <c r="J129" i="2"/>
  <c r="J130" i="2" a="1"/>
  <c r="J130" i="2"/>
  <c r="J131" i="2" a="1"/>
  <c r="J131" i="2"/>
  <c r="J132" i="2" a="1"/>
  <c r="J132" i="2"/>
  <c r="J133" i="2" a="1"/>
  <c r="J133" i="2"/>
  <c r="J134" i="2" a="1"/>
  <c r="J134" i="2"/>
  <c r="J135" i="2" a="1"/>
  <c r="J135" i="2"/>
  <c r="J136" i="2" a="1"/>
  <c r="J136" i="2"/>
  <c r="J137" i="2" a="1"/>
  <c r="J137" i="2"/>
  <c r="J138" i="2" a="1"/>
  <c r="J138" i="2"/>
  <c r="J139" i="2" a="1"/>
  <c r="J139" i="2"/>
  <c r="J140" i="2" a="1"/>
  <c r="J140" i="2"/>
  <c r="J141" i="2" a="1"/>
  <c r="J141" i="2"/>
  <c r="J142" i="2" a="1"/>
  <c r="J142" i="2"/>
  <c r="J143" i="2" a="1"/>
  <c r="J143" i="2"/>
  <c r="J144" i="2" a="1"/>
  <c r="J144" i="2"/>
  <c r="J145" i="2" a="1"/>
  <c r="J145" i="2"/>
  <c r="J146" i="2" a="1"/>
  <c r="J146" i="2"/>
  <c r="J147" i="2" a="1"/>
  <c r="J147" i="2"/>
  <c r="J148" i="2" a="1"/>
  <c r="J148" i="2"/>
  <c r="J149" i="2" a="1"/>
  <c r="J149" i="2"/>
  <c r="J150" i="2" a="1"/>
  <c r="J150" i="2"/>
  <c r="J151" i="2" a="1"/>
  <c r="J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<sst xmlns="http://schemas.openxmlformats.org/spreadsheetml/2006/main" count="501" uniqueCount="152">
  <si>
    <t>WeekStartDate</t>
  </si>
  <si>
    <t>Channel</t>
  </si>
  <si>
    <t>CampaignName</t>
  </si>
  <si>
    <t>Spend</t>
  </si>
  <si>
    <t>Impressions</t>
  </si>
  <si>
    <t>Clicks</t>
  </si>
  <si>
    <t>Leads</t>
  </si>
  <si>
    <t>Opportunities</t>
  </si>
  <si>
    <t>RevenueAttributed</t>
  </si>
  <si>
    <t>WeightedValue</t>
  </si>
  <si>
    <t>CAC</t>
  </si>
  <si>
    <t>ROAS</t>
  </si>
  <si>
    <t>Notes</t>
  </si>
  <si>
    <t>DataQualityFlag</t>
  </si>
  <si>
    <t>DaysLate</t>
  </si>
  <si>
    <t>Affiliate</t>
  </si>
  <si>
    <t>Brand - Healthcare (Growth)</t>
  </si>
  <si>
    <t>Unusually high CAC this week; check targeting, bidding, and landing page.</t>
  </si>
  <si>
    <t>OK</t>
  </si>
  <si>
    <t>LinkedIn</t>
  </si>
  <si>
    <t>Content - Healthcare (Growth)</t>
  </si>
  <si>
    <t>Partner - Healthcare (Teams)</t>
  </si>
  <si>
    <t>Prospecting - Mid-Market (Platform)</t>
  </si>
  <si>
    <t>Google Ads</t>
  </si>
  <si>
    <t>Demand Gen - Mid-Market (Growth)</t>
  </si>
  <si>
    <t>SEO</t>
  </si>
  <si>
    <t>Prospecting - Finance (Core)</t>
  </si>
  <si>
    <t>UTM parameters missing on key links; attribution likely undercounted.</t>
  </si>
  <si>
    <t>Missing UTMs</t>
  </si>
  <si>
    <t>Meta</t>
  </si>
  <si>
    <t>Content - Ecommerce (Pro)</t>
  </si>
  <si>
    <t>No leads recorded; verify form tracking and CRM sync.</t>
  </si>
  <si>
    <t>Launch - Healthcare (Pro)</t>
  </si>
  <si>
    <t>Brand - Enterprise (Growth)</t>
  </si>
  <si>
    <t>Demand Gen - SMB (Pro)</t>
  </si>
  <si>
    <t>Prospecting - Enterprise (Platform)</t>
  </si>
  <si>
    <t>Demand Gen - Enterprise (Core)</t>
  </si>
  <si>
    <t>Webinar - Healthcare (Core)</t>
  </si>
  <si>
    <t>Retargeting - Enterprise (Teams)</t>
  </si>
  <si>
    <t>Partner - Education (Platform)</t>
  </si>
  <si>
    <t>Promo - Enterprise (Pro)</t>
  </si>
  <si>
    <t>Demand Gen - Finance (Core)</t>
  </si>
  <si>
    <t>Email</t>
  </si>
  <si>
    <t>Promo - Ecommerce (Teams)</t>
  </si>
  <si>
    <t>Webinar - Mid-Market (Growth)</t>
  </si>
  <si>
    <t>Promo - Education (Core)</t>
  </si>
  <si>
    <t>Retargeting - Enterprise (Platform)</t>
  </si>
  <si>
    <t>Retargeting - Finance (Teams)</t>
  </si>
  <si>
    <t>Attribution anomaly detected (duplicate conversions / mis-tagged source). Review tracking.</t>
  </si>
  <si>
    <t>Suspect attribution</t>
  </si>
  <si>
    <t>Brand - SMB (Core)</t>
  </si>
  <si>
    <t>Content - Ecommerce (Growth)</t>
  </si>
  <si>
    <t>Retargeting - Education (Teams)</t>
  </si>
  <si>
    <t>Demand Gen - Ecommerce (Growth)</t>
  </si>
  <si>
    <t>Content - Enterprise (Core)</t>
  </si>
  <si>
    <t>Content - B2B SaaS (Platform)</t>
  </si>
  <si>
    <t>Brand - Ecommerce (Teams)</t>
  </si>
  <si>
    <t>Demand Gen - Education (Platform)</t>
  </si>
  <si>
    <t>Retargeting - SMB (Core)</t>
  </si>
  <si>
    <t>Demand Gen - Finance (Growth)</t>
  </si>
  <si>
    <t>Newsletter - B2B SaaS (Teams)</t>
  </si>
  <si>
    <t>Webinar - Mid-Market (Platform)</t>
  </si>
  <si>
    <t>Content - Finance (Core)</t>
  </si>
  <si>
    <t>Partner - SMB (Pro)</t>
  </si>
  <si>
    <t>Partner - Healthcare (Pro)</t>
  </si>
  <si>
    <t>Webinar - SMB (Growth)</t>
  </si>
  <si>
    <t>Retargeting - Enterprise (Growth)</t>
  </si>
  <si>
    <t>Newsletter - Finance (Growth)</t>
  </si>
  <si>
    <t>Promo - Finance (Core)</t>
  </si>
  <si>
    <t>Promo - SMB (Growth)</t>
  </si>
  <si>
    <t>Newsletter - SMB (Teams)</t>
  </si>
  <si>
    <t>Prospecting - SMB (Teams)</t>
  </si>
  <si>
    <t>Content - Healthcare (Core)</t>
  </si>
  <si>
    <t>Partner - Enterprise (Core)</t>
  </si>
  <si>
    <t>Webinar - Enterprise (Platform)</t>
  </si>
  <si>
    <t>Retargeting - B2B SaaS (Platform)</t>
  </si>
  <si>
    <t>Promo - B2B SaaS (Core)</t>
  </si>
  <si>
    <t>No paid spend (organic/owned activity).</t>
  </si>
  <si>
    <t>Brand - Finance (Growth)</t>
  </si>
  <si>
    <t>Demand Gen - Ecommerce (Platform)</t>
  </si>
  <si>
    <t>Prospecting - Ecommerce (Platform)</t>
  </si>
  <si>
    <t>Retargeting - Healthcare (Teams)</t>
  </si>
  <si>
    <t>Demand Gen - Finance (Teams)</t>
  </si>
  <si>
    <t>Webinar - Education (Growth)</t>
  </si>
  <si>
    <t>Prospecting - Healthcare (Platform)</t>
  </si>
  <si>
    <t>Webinar - Healthcare (Platform)</t>
  </si>
  <si>
    <t>Promo - B2B SaaS (Pro)</t>
  </si>
  <si>
    <t>Partner - Education (Growth)</t>
  </si>
  <si>
    <t>Launch - SMB (Platform)</t>
  </si>
  <si>
    <t>Retargeting - B2B SaaS (Growth)</t>
  </si>
  <si>
    <t>Prospecting - Healthcare (Teams)</t>
  </si>
  <si>
    <t>Content - Finance (Pro)</t>
  </si>
  <si>
    <t>Partner - Ecommerce (Platform)</t>
  </si>
  <si>
    <t>Prospecting - Healthcare (Growth)</t>
  </si>
  <si>
    <t>Content - SMB (Teams)</t>
  </si>
  <si>
    <t>Partner - Education (Core)</t>
  </si>
  <si>
    <t>Prospecting - B2B SaaS (Teams)</t>
  </si>
  <si>
    <t>Webinar - Ecommerce (Core)</t>
  </si>
  <si>
    <t>Retargeting - Mid-Market (Core)</t>
  </si>
  <si>
    <t>Content - Mid-Market (Core)</t>
  </si>
  <si>
    <t>Brand - B2B SaaS (Teams)</t>
  </si>
  <si>
    <t>Demand Gen - Healthcare (Core)</t>
  </si>
  <si>
    <t>Launch - B2B SaaS (Pro)</t>
  </si>
  <si>
    <t>Launch - Enterprise (Teams)</t>
  </si>
  <si>
    <t>Newsletter - Finance (Core)</t>
  </si>
  <si>
    <t>Prospecting - B2B SaaS (Platform)</t>
  </si>
  <si>
    <t>Prospecting - Education (Core)</t>
  </si>
  <si>
    <t>Partner - Education (Pro)</t>
  </si>
  <si>
    <t>Content - Mid-Market (Teams)</t>
  </si>
  <si>
    <t>Retargeting - Ecommerce (Platform)</t>
  </si>
  <si>
    <t>Webinar - B2B SaaS (Pro)</t>
  </si>
  <si>
    <t>Demand Gen - Enterprise (Platform)</t>
  </si>
  <si>
    <t>Demand Gen - Education (Growth)</t>
  </si>
  <si>
    <t>Content - Finance (Platform)</t>
  </si>
  <si>
    <t>Promo - Ecommerce (Growth)</t>
  </si>
  <si>
    <t>Retargeting - Finance (Pro)</t>
  </si>
  <si>
    <t>Newsletter - Mid-Market (Core)</t>
  </si>
  <si>
    <t>Partner - SMB (Teams)</t>
  </si>
  <si>
    <t>Retargeting - Finance (Platform)</t>
  </si>
  <si>
    <t>Demand Gen - Enterprise (Growth)</t>
  </si>
  <si>
    <t>Partner - Enterprise (Pro)</t>
  </si>
  <si>
    <t>Prospecting - Education (Growth)</t>
  </si>
  <si>
    <t>Launch - Mid-Market (Growth)</t>
  </si>
  <si>
    <t>Prospecting - Finance (Platform)</t>
  </si>
  <si>
    <t>Partner - Education (Teams)</t>
  </si>
  <si>
    <t>Launch - Mid-Market (Teams)</t>
  </si>
  <si>
    <t>Content - Enterprise (Pro)</t>
  </si>
  <si>
    <t>Demand Gen - Mid-Market (Pro)</t>
  </si>
  <si>
    <t>Promo - Enterprise (Teams)</t>
  </si>
  <si>
    <t>Launch - Education (Core)</t>
  </si>
  <si>
    <t>Promo - Finance (Platform)</t>
  </si>
  <si>
    <t>Launch - B2B SaaS (Platform)</t>
  </si>
  <si>
    <t>Promo - Ecommerce (Core)</t>
  </si>
  <si>
    <t>Brand - Education (Platform)</t>
  </si>
  <si>
    <t>Newsletter - Healthcare (Pro)</t>
  </si>
  <si>
    <t>Partner - Finance (Platform)</t>
  </si>
  <si>
    <t>Launch - B2B SaaS (Growth)</t>
  </si>
  <si>
    <t>Prospecting - Enterprise (Pro)</t>
  </si>
  <si>
    <t>Webinar - SMB (Pro)</t>
  </si>
  <si>
    <t>Prospecting - SMB (Platform)</t>
  </si>
  <si>
    <t>Launch - Enterprise (Pro)</t>
  </si>
  <si>
    <t>Retargeting - Healthcare (Core)</t>
  </si>
  <si>
    <t>Brand - Ecommerce (Pro)</t>
  </si>
  <si>
    <t>Newsletter - Healthcare (Growth)</t>
  </si>
  <si>
    <t>Prospecting - Mid-Market (Pro)</t>
  </si>
  <si>
    <t>Content - Education (Growth)</t>
  </si>
  <si>
    <t>Partner - SMB (Platform)</t>
  </si>
  <si>
    <t>Demand Gen - SMB (Teams)</t>
  </si>
  <si>
    <t>Newsletter - SMB (Pro)</t>
  </si>
  <si>
    <t>Prospecting - Education (Pro)</t>
  </si>
  <si>
    <t>Newsletter - SMB (Core)</t>
  </si>
  <si>
    <t>Retargeting - Enterprise (Pro)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</si>
</sst>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&quot;$&quot;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1">
    <dxf>
      <numFmt numFmtId="1" formatCode="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6" formatCode="&quot;$&quot;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&quot;$&quot;#,##0.00"/>
    </dxf>
    <dxf>
      <numFmt numFmtId="164" formatCode="yyyy\-mm\-dd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F16DFB-FCD8-4B21-BF79-E4BE6CDAD7EC}" name="MarketingTable" displayName="MarketingTable" ref="A1:O151" totalsRowShown="0">
  <autoFilter ref="A1:O151" xr:uid="{E7F16DFB-FCD8-4B21-BF79-E4BE6CDAD7EC}"/>
  <tableColumns count="15">
    <tableColumn id="1" xr3:uid="{36363697-5EA3-46BD-AF07-6DB1C721832B}" name="WeekStartDate" dataDxfId="10"/>
    <tableColumn id="2" xr3:uid="{5238327D-6A38-4E3D-B64C-8431E174153A}" name="Channel"/>
    <tableColumn id="3" xr3:uid="{0ABCA934-9C2B-45A6-B3EB-4914EE9E63CE}" name="CampaignName"/>
    <tableColumn id="4" xr3:uid="{2AF528A0-B894-4CFF-906D-8D3C38B87559}" name="Spend" dataDxfId="9"/>
    <tableColumn id="5" xr3:uid="{BC03902A-3E9B-423C-8E9B-ED05A134B62E}" name="Impressions" dataDxfId="8"/>
    <tableColumn id="6" xr3:uid="{C25D36D2-6A88-4604-8D2C-2B1BF1F3A919}" name="Clicks" dataDxfId="7"/>
    <tableColumn id="7" xr3:uid="{3FDC7D95-A105-4608-AE82-562832ECE642}" name="Leads" dataDxfId="6"/>
    <tableColumn id="8" xr3:uid="{7D81636A-55BE-4EAC-835A-94C2ABDAE3CC}" name="Opportunities" dataDxfId="5"/>
    <tableColumn id="9" xr3:uid="{151CD912-0226-4CE5-A5A0-9A9A9F90ED64}" name="RevenueAttributed" dataDxfId="4"/>
    <tableColumn id="14" xr3:uid="{540F2DC3-DFD2-4375-BC90-EA8D0B88ECB9}" name="WeightedValue" dataDxfId="3">
      <calculatedColumnFormula array="1">MarketingTable[[#This Row],[RevenueAttributed]]*_xlfn.SWITCH(MarketingTable[[#This Row],[DataQualityFlag]],"OK",1,"Missing UTMs",0.7,"Suspect attribution",0.4,1)</calculatedColumnFormula>
    </tableColumn>
    <tableColumn id="10" xr3:uid="{936174CF-51BC-40E8-A341-524B5C3A1FEB}" name="CAC" dataDxfId="2">
      <calculatedColumnFormula>IF(MarketingTable[[#This Row],[Leads]]=0,"",MarketingTable[[#This Row],[Spend]]/MarketingTable[[#This Row],[Leads]])</calculatedColumnFormula>
    </tableColumn>
    <tableColumn id="11" xr3:uid="{68CB8848-F130-4883-B9A0-80AAE29A8DE5}" name="ROAS" dataDxfId="1">
      <calculatedColumnFormula>IF(MarketingTable[[#This Row],[Spend]]=0,"",MarketingTable[[#This Row],[RevenueAttributed]]/MarketingTable[[#This Row],[Spend]])</calculatedColumnFormula>
    </tableColumn>
    <tableColumn id="12" xr3:uid="{B3682F4F-E29A-4AD6-8CD4-35A1A5E0FA7D}" name="Notes"/>
    <tableColumn id="13" xr3:uid="{BCCF3D80-2DD4-4A35-8907-5BAD20D873D7}" name="DataQualityFlag"/>
    <tableColumn id="15" xr3:uid="{5FCB7F28-DCE2-42CA-9F43-0E9226174EAF}" name="DaysLate" dataDxfId="0">
      <calculatedColumnFormula>MAX(0,TODAY()-(MarketingTable[[#This Row],[WeekStartDate]]+6))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F52E-B4B7-4DEA-90BE-5B2E4BA22A53}">
  <dimension ref="A1:O151"/>
  <sheetViews>
    <sheetView tabSelected="1" workbookViewId="0">
      <pane ySplit="1" topLeftCell="D2" activePane="bottomLeft" state="frozen"/>
      <selection pane="bottomLeft"/>
    </sheetView>
  </sheetViews>
  <sheetFormatPr defaultRowHeight="15"/>
  <cols>
    <col min="1" max="1" width="16.85546875" bestFit="1" customWidth="1"/>
    <col min="2" max="2" width="10.7109375" bestFit="1" customWidth="1"/>
    <col min="3" max="3" width="33.5703125" bestFit="1" customWidth="1"/>
    <col min="4" max="4" width="10.5703125" bestFit="1" customWidth="1"/>
    <col min="5" max="5" width="13.85546875" bestFit="1" customWidth="1"/>
    <col min="6" max="7" width="8.140625" bestFit="1" customWidth="1"/>
    <col min="8" max="8" width="15.5703125" bestFit="1" customWidth="1"/>
    <col min="9" max="9" width="20.28515625" bestFit="1" customWidth="1"/>
    <col min="10" max="10" width="16.85546875" bestFit="1" customWidth="1"/>
    <col min="11" max="11" width="10.5703125" bestFit="1" customWidth="1"/>
    <col min="12" max="12" width="8.140625" bestFit="1" customWidth="1"/>
    <col min="13" max="13" width="80.5703125" bestFit="1" customWidth="1"/>
    <col min="14" max="14" width="17.5703125" bestFit="1" customWidth="1"/>
    <col min="15" max="15" width="11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45663</v>
      </c>
      <c r="B2" t="s">
        <v>15</v>
      </c>
      <c r="C2" t="s">
        <v>16</v>
      </c>
      <c r="D2" s="2">
        <v>11171.87</v>
      </c>
      <c r="E2" s="5">
        <v>672929</v>
      </c>
      <c r="F2" s="5">
        <v>7770</v>
      </c>
      <c r="G2" s="5">
        <v>1</v>
      </c>
      <c r="H2" s="5">
        <v>0</v>
      </c>
      <c r="I2" s="3">
        <v>53492</v>
      </c>
      <c r="J2" s="2" cm="1">
        <f t="array" ref="J2">MarketingTable[[#This Row],[RevenueAttributed]]*_xlfn.SWITCH(MarketingTable[[#This Row],[DataQualityFlag]],"OK",1,"Missing UTMs",0.7,"Suspect attribution",0.4,1)</f>
        <v>53492</v>
      </c>
      <c r="K2" s="2">
        <f>IF(MarketingTable[[#This Row],[Leads]]=0,"",MarketingTable[[#This Row],[Spend]]/MarketingTable[[#This Row],[Leads]])</f>
        <v>11171.87</v>
      </c>
      <c r="L2" s="4">
        <f>IF(MarketingTable[[#This Row],[Spend]]=0,"",MarketingTable[[#This Row],[RevenueAttributed]]/MarketingTable[[#This Row],[Spend]])</f>
        <v>4.7880972478197465</v>
      </c>
      <c r="M2" t="s">
        <v>17</v>
      </c>
      <c r="N2" t="s">
        <v>18</v>
      </c>
      <c r="O2" s="6">
        <f ca="1">MAX(0,TODAY()-(MarketingTable[[#This Row],[WeekStartDate]]+6))</f>
        <v>371</v>
      </c>
    </row>
    <row r="3" spans="1:15">
      <c r="A3" s="1">
        <v>45670</v>
      </c>
      <c r="B3" t="s">
        <v>19</v>
      </c>
      <c r="C3" t="s">
        <v>20</v>
      </c>
      <c r="D3" s="2">
        <v>10162.83</v>
      </c>
      <c r="E3" s="5">
        <v>221263</v>
      </c>
      <c r="F3" s="5">
        <v>2360</v>
      </c>
      <c r="G3" s="5">
        <v>24</v>
      </c>
      <c r="H3" s="5">
        <v>6</v>
      </c>
      <c r="I3" s="3">
        <v>23169</v>
      </c>
      <c r="J3" s="2" cm="1">
        <f t="array" ref="J3">MarketingTable[[#This Row],[RevenueAttributed]]*_xlfn.SWITCH(MarketingTable[[#This Row],[DataQualityFlag]],"OK",1,"Missing UTMs",0.7,"Suspect attribution",0.4,1)</f>
        <v>23169</v>
      </c>
      <c r="K3" s="2">
        <f>IF(MarketingTable[[#This Row],[Leads]]=0,"",MarketingTable[[#This Row],[Spend]]/MarketingTable[[#This Row],[Leads]])</f>
        <v>423.45125000000002</v>
      </c>
      <c r="L3" s="4">
        <f>IF(MarketingTable[[#This Row],[Spend]]=0,"",MarketingTable[[#This Row],[RevenueAttributed]]/MarketingTable[[#This Row],[Spend]])</f>
        <v>2.2797783688204958</v>
      </c>
      <c r="N3" t="s">
        <v>18</v>
      </c>
      <c r="O3" s="6">
        <f ca="1">MAX(0,TODAY()-(MarketingTable[[#This Row],[WeekStartDate]]+6))</f>
        <v>364</v>
      </c>
    </row>
    <row r="4" spans="1:15">
      <c r="A4" s="1">
        <v>45677</v>
      </c>
      <c r="B4" t="s">
        <v>19</v>
      </c>
      <c r="C4" t="s">
        <v>21</v>
      </c>
      <c r="D4" s="2">
        <v>4794.28</v>
      </c>
      <c r="E4" s="5">
        <v>112251</v>
      </c>
      <c r="F4" s="5">
        <v>653</v>
      </c>
      <c r="G4" s="5">
        <v>3</v>
      </c>
      <c r="H4" s="5">
        <v>1</v>
      </c>
      <c r="I4" s="3">
        <v>9399</v>
      </c>
      <c r="J4" s="2" cm="1">
        <f t="array" ref="J4">MarketingTable[[#This Row],[RevenueAttributed]]*_xlfn.SWITCH(MarketingTable[[#This Row],[DataQualityFlag]],"OK",1,"Missing UTMs",0.7,"Suspect attribution",0.4,1)</f>
        <v>9399</v>
      </c>
      <c r="K4" s="2">
        <f>IF(MarketingTable[[#This Row],[Leads]]=0,"",MarketingTable[[#This Row],[Spend]]/MarketingTable[[#This Row],[Leads]])</f>
        <v>1598.0933333333332</v>
      </c>
      <c r="L4" s="4">
        <f>IF(MarketingTable[[#This Row],[Spend]]=0,"",MarketingTable[[#This Row],[RevenueAttributed]]/MarketingTable[[#This Row],[Spend]])</f>
        <v>1.9604612162827371</v>
      </c>
      <c r="M4" t="s">
        <v>17</v>
      </c>
      <c r="N4" t="s">
        <v>18</v>
      </c>
      <c r="O4" s="6">
        <f ca="1">MAX(0,TODAY()-(MarketingTable[[#This Row],[WeekStartDate]]+6))</f>
        <v>357</v>
      </c>
    </row>
    <row r="5" spans="1:15">
      <c r="A5" s="1">
        <v>45684</v>
      </c>
      <c r="B5" t="s">
        <v>19</v>
      </c>
      <c r="C5" t="s">
        <v>22</v>
      </c>
      <c r="D5" s="2">
        <v>7346.74</v>
      </c>
      <c r="E5" s="5">
        <v>223900</v>
      </c>
      <c r="F5" s="5">
        <v>1089</v>
      </c>
      <c r="G5" s="5">
        <v>17</v>
      </c>
      <c r="H5" s="5">
        <v>6</v>
      </c>
      <c r="I5" s="3">
        <v>11703</v>
      </c>
      <c r="J5" s="2" cm="1">
        <f t="array" ref="J5">MarketingTable[[#This Row],[RevenueAttributed]]*_xlfn.SWITCH(MarketingTable[[#This Row],[DataQualityFlag]],"OK",1,"Missing UTMs",0.7,"Suspect attribution",0.4,1)</f>
        <v>11703</v>
      </c>
      <c r="K5" s="2">
        <f>IF(MarketingTable[[#This Row],[Leads]]=0,"",MarketingTable[[#This Row],[Spend]]/MarketingTable[[#This Row],[Leads]])</f>
        <v>432.1611764705882</v>
      </c>
      <c r="L5" s="4">
        <f>IF(MarketingTable[[#This Row],[Spend]]=0,"",MarketingTable[[#This Row],[RevenueAttributed]]/MarketingTable[[#This Row],[Spend]])</f>
        <v>1.5929514315192861</v>
      </c>
      <c r="N5" t="s">
        <v>18</v>
      </c>
      <c r="O5" s="6">
        <f ca="1">MAX(0,TODAY()-(MarketingTable[[#This Row],[WeekStartDate]]+6))</f>
        <v>350</v>
      </c>
    </row>
    <row r="6" spans="1:15">
      <c r="A6" s="1">
        <v>45705</v>
      </c>
      <c r="B6" t="s">
        <v>23</v>
      </c>
      <c r="C6" t="s">
        <v>24</v>
      </c>
      <c r="D6" s="2">
        <v>11796.24</v>
      </c>
      <c r="E6" s="5">
        <v>1103325</v>
      </c>
      <c r="F6" s="5">
        <v>28465</v>
      </c>
      <c r="G6" s="5">
        <v>730</v>
      </c>
      <c r="H6" s="5">
        <v>223</v>
      </c>
      <c r="I6" s="3">
        <v>104314</v>
      </c>
      <c r="J6" s="2" cm="1">
        <f t="array" ref="J6">MarketingTable[[#This Row],[RevenueAttributed]]*_xlfn.SWITCH(MarketingTable[[#This Row],[DataQualityFlag]],"OK",1,"Missing UTMs",0.7,"Suspect attribution",0.4,1)</f>
        <v>104314</v>
      </c>
      <c r="K6" s="2">
        <f>IF(MarketingTable[[#This Row],[Leads]]=0,"",MarketingTable[[#This Row],[Spend]]/MarketingTable[[#This Row],[Leads]])</f>
        <v>16.159232876712327</v>
      </c>
      <c r="L6" s="4">
        <f>IF(MarketingTable[[#This Row],[Spend]]=0,"",MarketingTable[[#This Row],[RevenueAttributed]]/MarketingTable[[#This Row],[Spend]])</f>
        <v>8.8429872569564534</v>
      </c>
      <c r="N6" t="s">
        <v>18</v>
      </c>
      <c r="O6" s="6">
        <f ca="1">MAX(0,TODAY()-(MarketingTable[[#This Row],[WeekStartDate]]+6))</f>
        <v>329</v>
      </c>
    </row>
    <row r="7" spans="1:15">
      <c r="A7" s="1">
        <v>45698</v>
      </c>
      <c r="B7" t="s">
        <v>25</v>
      </c>
      <c r="C7" t="s">
        <v>26</v>
      </c>
      <c r="D7" s="2">
        <v>854.96</v>
      </c>
      <c r="E7" s="5">
        <v>396289</v>
      </c>
      <c r="F7" s="5">
        <v>15824</v>
      </c>
      <c r="G7" s="5">
        <v>113</v>
      </c>
      <c r="H7" s="5">
        <v>49</v>
      </c>
      <c r="I7" s="3">
        <v>315</v>
      </c>
      <c r="J7" s="2" cm="1">
        <f t="array" ref="J7">MarketingTable[[#This Row],[RevenueAttributed]]*_xlfn.SWITCH(MarketingTable[[#This Row],[DataQualityFlag]],"OK",1,"Missing UTMs",0.7,"Suspect attribution",0.4,1)</f>
        <v>220.5</v>
      </c>
      <c r="K7" s="2">
        <f>IF(MarketingTable[[#This Row],[Leads]]=0,"",MarketingTable[[#This Row],[Spend]]/MarketingTable[[#This Row],[Leads]])</f>
        <v>7.5660176991150445</v>
      </c>
      <c r="L7" s="4">
        <f>IF(MarketingTable[[#This Row],[Spend]]=0,"",MarketingTable[[#This Row],[RevenueAttributed]]/MarketingTable[[#This Row],[Spend]])</f>
        <v>0.36843828951062035</v>
      </c>
      <c r="M7" t="s">
        <v>27</v>
      </c>
      <c r="N7" t="s">
        <v>28</v>
      </c>
      <c r="O7" s="6">
        <f ca="1">MAX(0,TODAY()-(MarketingTable[[#This Row],[WeekStartDate]]+6))</f>
        <v>336</v>
      </c>
    </row>
    <row r="8" spans="1:15">
      <c r="A8" s="1">
        <v>45705</v>
      </c>
      <c r="B8" t="s">
        <v>29</v>
      </c>
      <c r="C8" t="s">
        <v>30</v>
      </c>
      <c r="D8" s="2">
        <v>3641.51</v>
      </c>
      <c r="E8" s="5">
        <v>422093</v>
      </c>
      <c r="F8" s="5">
        <v>7010</v>
      </c>
      <c r="G8" s="5">
        <v>0</v>
      </c>
      <c r="H8" s="5">
        <v>0</v>
      </c>
      <c r="I8" s="3">
        <v>23251</v>
      </c>
      <c r="J8" s="2" cm="1">
        <f t="array" ref="J8">MarketingTable[[#This Row],[RevenueAttributed]]*_xlfn.SWITCH(MarketingTable[[#This Row],[DataQualityFlag]],"OK",1,"Missing UTMs",0.7,"Suspect attribution",0.4,1)</f>
        <v>23251</v>
      </c>
      <c r="K8" s="2" t="str">
        <f>IF(MarketingTable[[#This Row],[Leads]]=0,"",MarketingTable[[#This Row],[Spend]]/MarketingTable[[#This Row],[Leads]])</f>
        <v/>
      </c>
      <c r="L8" s="4">
        <f>IF(MarketingTable[[#This Row],[Spend]]=0,"",MarketingTable[[#This Row],[RevenueAttributed]]/MarketingTable[[#This Row],[Spend]])</f>
        <v>6.3849886448204174</v>
      </c>
      <c r="M8" t="s">
        <v>31</v>
      </c>
      <c r="N8" t="s">
        <v>18</v>
      </c>
      <c r="O8" s="6">
        <f ca="1">MAX(0,TODAY()-(MarketingTable[[#This Row],[WeekStartDate]]+6))</f>
        <v>329</v>
      </c>
    </row>
    <row r="9" spans="1:15">
      <c r="A9" s="1">
        <v>45712</v>
      </c>
      <c r="B9" t="s">
        <v>15</v>
      </c>
      <c r="C9" t="s">
        <v>32</v>
      </c>
      <c r="D9" s="2">
        <v>3291.44</v>
      </c>
      <c r="E9" s="5">
        <v>222430</v>
      </c>
      <c r="F9" s="5">
        <v>5742</v>
      </c>
      <c r="G9" s="5">
        <v>141</v>
      </c>
      <c r="H9" s="5">
        <v>56</v>
      </c>
      <c r="I9" s="3">
        <v>17183</v>
      </c>
      <c r="J9" s="2" cm="1">
        <f t="array" ref="J9">MarketingTable[[#This Row],[RevenueAttributed]]*_xlfn.SWITCH(MarketingTable[[#This Row],[DataQualityFlag]],"OK",1,"Missing UTMs",0.7,"Suspect attribution",0.4,1)</f>
        <v>17183</v>
      </c>
      <c r="K9" s="2">
        <f>IF(MarketingTable[[#This Row],[Leads]]=0,"",MarketingTable[[#This Row],[Spend]]/MarketingTable[[#This Row],[Leads]])</f>
        <v>23.34354609929078</v>
      </c>
      <c r="L9" s="4">
        <f>IF(MarketingTable[[#This Row],[Spend]]=0,"",MarketingTable[[#This Row],[RevenueAttributed]]/MarketingTable[[#This Row],[Spend]])</f>
        <v>5.2205113871132394</v>
      </c>
      <c r="N9" t="s">
        <v>18</v>
      </c>
      <c r="O9" s="6">
        <f ca="1">MAX(0,TODAY()-(MarketingTable[[#This Row],[WeekStartDate]]+6))</f>
        <v>322</v>
      </c>
    </row>
    <row r="10" spans="1:15">
      <c r="A10" s="1">
        <v>45719</v>
      </c>
      <c r="B10" t="s">
        <v>29</v>
      </c>
      <c r="C10" t="s">
        <v>33</v>
      </c>
      <c r="D10" s="2">
        <v>7820.93</v>
      </c>
      <c r="E10" s="5">
        <v>790721</v>
      </c>
      <c r="F10" s="5">
        <v>12485</v>
      </c>
      <c r="G10" s="5">
        <v>121</v>
      </c>
      <c r="H10" s="5">
        <v>54</v>
      </c>
      <c r="I10" s="3">
        <v>81022</v>
      </c>
      <c r="J10" s="2" cm="1">
        <f t="array" ref="J10">MarketingTable[[#This Row],[RevenueAttributed]]*_xlfn.SWITCH(MarketingTable[[#This Row],[DataQualityFlag]],"OK",1,"Missing UTMs",0.7,"Suspect attribution",0.4,1)</f>
        <v>81022</v>
      </c>
      <c r="K10" s="2">
        <f>IF(MarketingTable[[#This Row],[Leads]]=0,"",MarketingTable[[#This Row],[Spend]]/MarketingTable[[#This Row],[Leads]])</f>
        <v>64.63578512396694</v>
      </c>
      <c r="L10" s="4">
        <f>IF(MarketingTable[[#This Row],[Spend]]=0,"",MarketingTable[[#This Row],[RevenueAttributed]]/MarketingTable[[#This Row],[Spend]])</f>
        <v>10.359637536712386</v>
      </c>
      <c r="N10" t="s">
        <v>18</v>
      </c>
      <c r="O10" s="6">
        <f ca="1">MAX(0,TODAY()-(MarketingTable[[#This Row],[WeekStartDate]]+6))</f>
        <v>315</v>
      </c>
    </row>
    <row r="11" spans="1:15">
      <c r="A11" s="1">
        <v>45733</v>
      </c>
      <c r="B11" t="s">
        <v>29</v>
      </c>
      <c r="C11" t="s">
        <v>34</v>
      </c>
      <c r="D11" s="2">
        <v>8469.83</v>
      </c>
      <c r="E11" s="5">
        <v>1134315</v>
      </c>
      <c r="F11" s="5">
        <v>20587</v>
      </c>
      <c r="G11" s="5">
        <v>416</v>
      </c>
      <c r="H11" s="5">
        <v>141</v>
      </c>
      <c r="I11" s="3">
        <v>84560</v>
      </c>
      <c r="J11" s="2" cm="1">
        <f t="array" ref="J11">MarketingTable[[#This Row],[RevenueAttributed]]*_xlfn.SWITCH(MarketingTable[[#This Row],[DataQualityFlag]],"OK",1,"Missing UTMs",0.7,"Suspect attribution",0.4,1)</f>
        <v>84560</v>
      </c>
      <c r="K11" s="2">
        <f>IF(MarketingTable[[#This Row],[Leads]]=0,"",MarketingTable[[#This Row],[Spend]]/MarketingTable[[#This Row],[Leads]])</f>
        <v>20.360168269230769</v>
      </c>
      <c r="L11" s="4">
        <f>IF(MarketingTable[[#This Row],[Spend]]=0,"",MarketingTable[[#This Row],[RevenueAttributed]]/MarketingTable[[#This Row],[Spend]])</f>
        <v>9.9836714550351076</v>
      </c>
      <c r="N11" t="s">
        <v>18</v>
      </c>
      <c r="O11" s="6">
        <f ca="1">MAX(0,TODAY()-(MarketingTable[[#This Row],[WeekStartDate]]+6))</f>
        <v>301</v>
      </c>
    </row>
    <row r="12" spans="1:15">
      <c r="A12" s="1">
        <v>45733</v>
      </c>
      <c r="B12" t="s">
        <v>15</v>
      </c>
      <c r="C12" t="s">
        <v>35</v>
      </c>
      <c r="D12" s="2">
        <v>7398.06</v>
      </c>
      <c r="E12" s="5">
        <v>439603</v>
      </c>
      <c r="F12" s="5">
        <v>9336</v>
      </c>
      <c r="G12" s="5">
        <v>148</v>
      </c>
      <c r="H12" s="5">
        <v>41</v>
      </c>
      <c r="I12" s="3">
        <v>54619</v>
      </c>
      <c r="J12" s="2" cm="1">
        <f t="array" ref="J12">MarketingTable[[#This Row],[RevenueAttributed]]*_xlfn.SWITCH(MarketingTable[[#This Row],[DataQualityFlag]],"OK",1,"Missing UTMs",0.7,"Suspect attribution",0.4,1)</f>
        <v>54619</v>
      </c>
      <c r="K12" s="2">
        <f>IF(MarketingTable[[#This Row],[Leads]]=0,"",MarketingTable[[#This Row],[Spend]]/MarketingTable[[#This Row],[Leads]])</f>
        <v>49.986891891891894</v>
      </c>
      <c r="L12" s="4">
        <f>IF(MarketingTable[[#This Row],[Spend]]=0,"",MarketingTable[[#This Row],[RevenueAttributed]]/MarketingTable[[#This Row],[Spend]])</f>
        <v>7.3828814581119913</v>
      </c>
      <c r="N12" t="s">
        <v>18</v>
      </c>
      <c r="O12" s="6">
        <f ca="1">MAX(0,TODAY()-(MarketingTable[[#This Row],[WeekStartDate]]+6))</f>
        <v>301</v>
      </c>
    </row>
    <row r="13" spans="1:15">
      <c r="A13" s="1">
        <v>45740</v>
      </c>
      <c r="B13" t="s">
        <v>19</v>
      </c>
      <c r="C13" t="s">
        <v>36</v>
      </c>
      <c r="D13" s="2">
        <v>6679.43</v>
      </c>
      <c r="E13" s="5">
        <v>218916</v>
      </c>
      <c r="F13" s="5">
        <v>1904</v>
      </c>
      <c r="G13" s="5">
        <v>31</v>
      </c>
      <c r="H13" s="5">
        <v>13</v>
      </c>
      <c r="I13" s="3">
        <v>9853</v>
      </c>
      <c r="J13" s="2" cm="1">
        <f t="array" ref="J13">MarketingTable[[#This Row],[RevenueAttributed]]*_xlfn.SWITCH(MarketingTable[[#This Row],[DataQualityFlag]],"OK",1,"Missing UTMs",0.7,"Suspect attribution",0.4,1)</f>
        <v>6897.0999999999995</v>
      </c>
      <c r="K13" s="2">
        <f>IF(MarketingTable[[#This Row],[Leads]]=0,"",MarketingTable[[#This Row],[Spend]]/MarketingTable[[#This Row],[Leads]])</f>
        <v>215.46548387096774</v>
      </c>
      <c r="L13" s="4">
        <f>IF(MarketingTable[[#This Row],[Spend]]=0,"",MarketingTable[[#This Row],[RevenueAttributed]]/MarketingTable[[#This Row],[Spend]])</f>
        <v>1.4751258715189768</v>
      </c>
      <c r="M13" t="s">
        <v>27</v>
      </c>
      <c r="N13" t="s">
        <v>28</v>
      </c>
      <c r="O13" s="6">
        <f ca="1">MAX(0,TODAY()-(MarketingTable[[#This Row],[WeekStartDate]]+6))</f>
        <v>294</v>
      </c>
    </row>
    <row r="14" spans="1:15">
      <c r="A14" s="1">
        <v>45747</v>
      </c>
      <c r="B14" t="s">
        <v>29</v>
      </c>
      <c r="C14" t="s">
        <v>37</v>
      </c>
      <c r="D14" s="2">
        <v>10981.16</v>
      </c>
      <c r="E14" s="5">
        <v>995536</v>
      </c>
      <c r="F14" s="5">
        <v>21408</v>
      </c>
      <c r="G14" s="5">
        <v>376</v>
      </c>
      <c r="H14" s="5">
        <v>78</v>
      </c>
      <c r="I14" s="3">
        <v>32681</v>
      </c>
      <c r="J14" s="2" cm="1">
        <f t="array" ref="J14">MarketingTable[[#This Row],[RevenueAttributed]]*_xlfn.SWITCH(MarketingTable[[#This Row],[DataQualityFlag]],"OK",1,"Missing UTMs",0.7,"Suspect attribution",0.4,1)</f>
        <v>32681</v>
      </c>
      <c r="K14" s="2">
        <f>IF(MarketingTable[[#This Row],[Leads]]=0,"",MarketingTable[[#This Row],[Spend]]/MarketingTable[[#This Row],[Leads]])</f>
        <v>29.205212765957448</v>
      </c>
      <c r="L14" s="4">
        <f>IF(MarketingTable[[#This Row],[Spend]]=0,"",MarketingTable[[#This Row],[RevenueAttributed]]/MarketingTable[[#This Row],[Spend]])</f>
        <v>2.9760972429142276</v>
      </c>
      <c r="N14" t="s">
        <v>18</v>
      </c>
      <c r="O14" s="6">
        <f ca="1">MAX(0,TODAY()-(MarketingTable[[#This Row],[WeekStartDate]]+6))</f>
        <v>287</v>
      </c>
    </row>
    <row r="15" spans="1:15">
      <c r="A15" s="1">
        <v>45754</v>
      </c>
      <c r="B15" t="s">
        <v>19</v>
      </c>
      <c r="C15" t="s">
        <v>38</v>
      </c>
      <c r="D15" s="2">
        <v>4511.3</v>
      </c>
      <c r="E15" s="5">
        <v>116313</v>
      </c>
      <c r="F15" s="5">
        <v>1329</v>
      </c>
      <c r="G15" s="5">
        <v>18</v>
      </c>
      <c r="H15" s="5">
        <v>7</v>
      </c>
      <c r="I15" s="3">
        <v>9292</v>
      </c>
      <c r="J15" s="2" cm="1">
        <f t="array" ref="J15">MarketingTable[[#This Row],[RevenueAttributed]]*_xlfn.SWITCH(MarketingTable[[#This Row],[DataQualityFlag]],"OK",1,"Missing UTMs",0.7,"Suspect attribution",0.4,1)</f>
        <v>9292</v>
      </c>
      <c r="K15" s="2">
        <f>IF(MarketingTable[[#This Row],[Leads]]=0,"",MarketingTable[[#This Row],[Spend]]/MarketingTable[[#This Row],[Leads]])</f>
        <v>250.62777777777779</v>
      </c>
      <c r="L15" s="4">
        <f>IF(MarketingTable[[#This Row],[Spend]]=0,"",MarketingTable[[#This Row],[RevenueAttributed]]/MarketingTable[[#This Row],[Spend]])</f>
        <v>2.0597167113692283</v>
      </c>
      <c r="N15" t="s">
        <v>18</v>
      </c>
      <c r="O15" s="6">
        <f ca="1">MAX(0,TODAY()-(MarketingTable[[#This Row],[WeekStartDate]]+6))</f>
        <v>280</v>
      </c>
    </row>
    <row r="16" spans="1:15">
      <c r="A16" s="1">
        <v>45775</v>
      </c>
      <c r="B16" t="s">
        <v>25</v>
      </c>
      <c r="C16" t="s">
        <v>39</v>
      </c>
      <c r="D16" s="2">
        <v>2329</v>
      </c>
      <c r="E16" s="5">
        <v>1112769</v>
      </c>
      <c r="F16" s="5">
        <v>23960</v>
      </c>
      <c r="G16" s="5">
        <v>511</v>
      </c>
      <c r="H16" s="5">
        <v>206</v>
      </c>
      <c r="I16" s="3">
        <v>14912</v>
      </c>
      <c r="J16" s="2" cm="1">
        <f t="array" ref="J16">MarketingTable[[#This Row],[RevenueAttributed]]*_xlfn.SWITCH(MarketingTable[[#This Row],[DataQualityFlag]],"OK",1,"Missing UTMs",0.7,"Suspect attribution",0.4,1)</f>
        <v>14912</v>
      </c>
      <c r="K16" s="2">
        <f>IF(MarketingTable[[#This Row],[Leads]]=0,"",MarketingTable[[#This Row],[Spend]]/MarketingTable[[#This Row],[Leads]])</f>
        <v>4.5577299412915853</v>
      </c>
      <c r="L16" s="4">
        <f>IF(MarketingTable[[#This Row],[Spend]]=0,"",MarketingTable[[#This Row],[RevenueAttributed]]/MarketingTable[[#This Row],[Spend]])</f>
        <v>6.4027479604980675</v>
      </c>
      <c r="N16" t="s">
        <v>18</v>
      </c>
      <c r="O16" s="6">
        <f ca="1">MAX(0,TODAY()-(MarketingTable[[#This Row],[WeekStartDate]]+6))</f>
        <v>259</v>
      </c>
    </row>
    <row r="17" spans="1:15">
      <c r="A17" s="1">
        <v>45768</v>
      </c>
      <c r="B17" t="s">
        <v>15</v>
      </c>
      <c r="C17" t="s">
        <v>40</v>
      </c>
      <c r="D17" s="2">
        <v>2359.98</v>
      </c>
      <c r="E17" s="5">
        <v>90172</v>
      </c>
      <c r="F17" s="5">
        <v>885</v>
      </c>
      <c r="G17" s="5">
        <v>13</v>
      </c>
      <c r="H17" s="5">
        <v>5</v>
      </c>
      <c r="I17" s="3">
        <v>3034</v>
      </c>
      <c r="J17" s="2" cm="1">
        <f t="array" ref="J17">MarketingTable[[#This Row],[RevenueAttributed]]*_xlfn.SWITCH(MarketingTable[[#This Row],[DataQualityFlag]],"OK",1,"Missing UTMs",0.7,"Suspect attribution",0.4,1)</f>
        <v>3034</v>
      </c>
      <c r="K17" s="2">
        <f>IF(MarketingTable[[#This Row],[Leads]]=0,"",MarketingTable[[#This Row],[Spend]]/MarketingTable[[#This Row],[Leads]])</f>
        <v>181.53692307692307</v>
      </c>
      <c r="L17" s="4">
        <f>IF(MarketingTable[[#This Row],[Spend]]=0,"",MarketingTable[[#This Row],[RevenueAttributed]]/MarketingTable[[#This Row],[Spend]])</f>
        <v>1.2856041152891127</v>
      </c>
      <c r="N17" t="s">
        <v>18</v>
      </c>
      <c r="O17" s="6">
        <f ca="1">MAX(0,TODAY()-(MarketingTable[[#This Row],[WeekStartDate]]+6))</f>
        <v>266</v>
      </c>
    </row>
    <row r="18" spans="1:15">
      <c r="A18" s="1">
        <v>45775</v>
      </c>
      <c r="B18" t="s">
        <v>25</v>
      </c>
      <c r="C18" t="s">
        <v>41</v>
      </c>
      <c r="D18" s="2">
        <v>1970.76</v>
      </c>
      <c r="E18" s="5">
        <v>708846</v>
      </c>
      <c r="F18" s="5">
        <v>31499</v>
      </c>
      <c r="G18" s="5">
        <v>206</v>
      </c>
      <c r="H18" s="5">
        <v>87</v>
      </c>
      <c r="I18" s="3">
        <v>13861</v>
      </c>
      <c r="J18" s="2" cm="1">
        <f t="array" ref="J18">MarketingTable[[#This Row],[RevenueAttributed]]*_xlfn.SWITCH(MarketingTable[[#This Row],[DataQualityFlag]],"OK",1,"Missing UTMs",0.7,"Suspect attribution",0.4,1)</f>
        <v>13861</v>
      </c>
      <c r="K18" s="2">
        <f>IF(MarketingTable[[#This Row],[Leads]]=0,"",MarketingTable[[#This Row],[Spend]]/MarketingTable[[#This Row],[Leads]])</f>
        <v>9.5667961165048538</v>
      </c>
      <c r="L18" s="4">
        <f>IF(MarketingTable[[#This Row],[Spend]]=0,"",MarketingTable[[#This Row],[RevenueAttributed]]/MarketingTable[[#This Row],[Spend]])</f>
        <v>7.0333272443118391</v>
      </c>
      <c r="N18" t="s">
        <v>18</v>
      </c>
      <c r="O18" s="6">
        <f ca="1">MAX(0,TODAY()-(MarketingTable[[#This Row],[WeekStartDate]]+6))</f>
        <v>259</v>
      </c>
    </row>
    <row r="19" spans="1:15">
      <c r="A19" s="1">
        <v>45782</v>
      </c>
      <c r="B19" t="s">
        <v>42</v>
      </c>
      <c r="C19" t="s">
        <v>43</v>
      </c>
      <c r="D19" s="2">
        <v>636.05999999999995</v>
      </c>
      <c r="E19" s="5">
        <v>128553</v>
      </c>
      <c r="F19" s="5">
        <v>1904</v>
      </c>
      <c r="G19" s="5">
        <v>26</v>
      </c>
      <c r="H19" s="5">
        <v>5</v>
      </c>
      <c r="I19" s="3">
        <v>8872</v>
      </c>
      <c r="J19" s="2" cm="1">
        <f t="array" ref="J19">MarketingTable[[#This Row],[RevenueAttributed]]*_xlfn.SWITCH(MarketingTable[[#This Row],[DataQualityFlag]],"OK",1,"Missing UTMs",0.7,"Suspect attribution",0.4,1)</f>
        <v>8872</v>
      </c>
      <c r="K19" s="2">
        <f>IF(MarketingTable[[#This Row],[Leads]]=0,"",MarketingTable[[#This Row],[Spend]]/MarketingTable[[#This Row],[Leads]])</f>
        <v>24.463846153846152</v>
      </c>
      <c r="L19" s="4">
        <f>IF(MarketingTable[[#This Row],[Spend]]=0,"",MarketingTable[[#This Row],[RevenueAttributed]]/MarketingTable[[#This Row],[Spend]])</f>
        <v>13.948369650661888</v>
      </c>
      <c r="N19" t="s">
        <v>18</v>
      </c>
      <c r="O19" s="6">
        <f ca="1">MAX(0,TODAY()-(MarketingTable[[#This Row],[WeekStartDate]]+6))</f>
        <v>252</v>
      </c>
    </row>
    <row r="20" spans="1:15">
      <c r="A20" s="1">
        <v>45789</v>
      </c>
      <c r="B20" t="s">
        <v>15</v>
      </c>
      <c r="C20" t="s">
        <v>44</v>
      </c>
      <c r="D20" s="2">
        <v>6522.53</v>
      </c>
      <c r="E20" s="5">
        <v>417763</v>
      </c>
      <c r="F20" s="5">
        <v>2958</v>
      </c>
      <c r="G20" s="5">
        <v>78</v>
      </c>
      <c r="H20" s="5">
        <v>35</v>
      </c>
      <c r="I20" s="3">
        <v>20541</v>
      </c>
      <c r="J20" s="2" cm="1">
        <f t="array" ref="J20">MarketingTable[[#This Row],[RevenueAttributed]]*_xlfn.SWITCH(MarketingTable[[#This Row],[DataQualityFlag]],"OK",1,"Missing UTMs",0.7,"Suspect attribution",0.4,1)</f>
        <v>20541</v>
      </c>
      <c r="K20" s="2">
        <f>IF(MarketingTable[[#This Row],[Leads]]=0,"",MarketingTable[[#This Row],[Spend]]/MarketingTable[[#This Row],[Leads]])</f>
        <v>83.62217948717948</v>
      </c>
      <c r="L20" s="4">
        <f>IF(MarketingTable[[#This Row],[Spend]]=0,"",MarketingTable[[#This Row],[RevenueAttributed]]/MarketingTable[[#This Row],[Spend]])</f>
        <v>3.1492381023927831</v>
      </c>
      <c r="N20" t="s">
        <v>18</v>
      </c>
      <c r="O20" s="6">
        <f ca="1">MAX(0,TODAY()-(MarketingTable[[#This Row],[WeekStartDate]]+6))</f>
        <v>245</v>
      </c>
    </row>
    <row r="21" spans="1:15">
      <c r="A21" s="1">
        <v>45810</v>
      </c>
      <c r="B21" t="s">
        <v>23</v>
      </c>
      <c r="C21" t="s">
        <v>45</v>
      </c>
      <c r="D21" s="2">
        <v>4016.15</v>
      </c>
      <c r="E21" s="5">
        <v>284353</v>
      </c>
      <c r="F21" s="5">
        <v>11832</v>
      </c>
      <c r="G21" s="5">
        <v>197</v>
      </c>
      <c r="H21" s="5">
        <v>47</v>
      </c>
      <c r="I21" s="3">
        <v>23627</v>
      </c>
      <c r="J21" s="2" cm="1">
        <f t="array" ref="J21">MarketingTable[[#This Row],[RevenueAttributed]]*_xlfn.SWITCH(MarketingTable[[#This Row],[DataQualityFlag]],"OK",1,"Missing UTMs",0.7,"Suspect attribution",0.4,1)</f>
        <v>23627</v>
      </c>
      <c r="K21" s="2">
        <f>IF(MarketingTable[[#This Row],[Leads]]=0,"",MarketingTable[[#This Row],[Spend]]/MarketingTable[[#This Row],[Leads]])</f>
        <v>20.386548223350253</v>
      </c>
      <c r="L21" s="4">
        <f>IF(MarketingTable[[#This Row],[Spend]]=0,"",MarketingTable[[#This Row],[RevenueAttributed]]/MarketingTable[[#This Row],[Spend]])</f>
        <v>5.8829973980055525</v>
      </c>
      <c r="N21" t="s">
        <v>18</v>
      </c>
      <c r="O21" s="6">
        <f ca="1">MAX(0,TODAY()-(MarketingTable[[#This Row],[WeekStartDate]]+6))</f>
        <v>224</v>
      </c>
    </row>
    <row r="22" spans="1:15">
      <c r="A22" s="1">
        <v>45803</v>
      </c>
      <c r="B22" t="s">
        <v>25</v>
      </c>
      <c r="C22" t="s">
        <v>46</v>
      </c>
      <c r="D22" s="2">
        <v>1148.33</v>
      </c>
      <c r="E22" s="5">
        <v>736732</v>
      </c>
      <c r="F22" s="5">
        <v>17942</v>
      </c>
      <c r="G22" s="5">
        <v>300</v>
      </c>
      <c r="H22" s="5">
        <v>98</v>
      </c>
      <c r="I22" s="3">
        <v>15475</v>
      </c>
      <c r="J22" s="2" cm="1">
        <f t="array" ref="J22">MarketingTable[[#This Row],[RevenueAttributed]]*_xlfn.SWITCH(MarketingTable[[#This Row],[DataQualityFlag]],"OK",1,"Missing UTMs",0.7,"Suspect attribution",0.4,1)</f>
        <v>15475</v>
      </c>
      <c r="K22" s="2">
        <f>IF(MarketingTable[[#This Row],[Leads]]=0,"",MarketingTable[[#This Row],[Spend]]/MarketingTable[[#This Row],[Leads]])</f>
        <v>3.8277666666666663</v>
      </c>
      <c r="L22" s="4">
        <f>IF(MarketingTable[[#This Row],[Spend]]=0,"",MarketingTable[[#This Row],[RevenueAttributed]]/MarketingTable[[#This Row],[Spend]])</f>
        <v>13.476091367464058</v>
      </c>
      <c r="N22" t="s">
        <v>18</v>
      </c>
      <c r="O22" s="6">
        <f ca="1">MAX(0,TODAY()-(MarketingTable[[#This Row],[WeekStartDate]]+6))</f>
        <v>231</v>
      </c>
    </row>
    <row r="23" spans="1:15">
      <c r="A23" s="1">
        <v>45810</v>
      </c>
      <c r="B23" t="s">
        <v>25</v>
      </c>
      <c r="C23" t="s">
        <v>47</v>
      </c>
      <c r="D23" s="2">
        <v>2029.26</v>
      </c>
      <c r="E23" s="5">
        <v>1422329</v>
      </c>
      <c r="F23" s="5">
        <v>47074</v>
      </c>
      <c r="G23" s="5">
        <v>913</v>
      </c>
      <c r="H23" s="5">
        <v>204</v>
      </c>
      <c r="I23" s="3">
        <v>275785</v>
      </c>
      <c r="J23" s="2" cm="1">
        <f t="array" ref="J23">MarketingTable[[#This Row],[RevenueAttributed]]*_xlfn.SWITCH(MarketingTable[[#This Row],[DataQualityFlag]],"OK",1,"Missing UTMs",0.7,"Suspect attribution",0.4,1)</f>
        <v>110314</v>
      </c>
      <c r="K23" s="2">
        <f>IF(MarketingTable[[#This Row],[Leads]]=0,"",MarketingTable[[#This Row],[Spend]]/MarketingTable[[#This Row],[Leads]])</f>
        <v>2.2226286966046001</v>
      </c>
      <c r="L23" s="4">
        <f>IF(MarketingTable[[#This Row],[Spend]]=0,"",MarketingTable[[#This Row],[RevenueAttributed]]/MarketingTable[[#This Row],[Spend]])</f>
        <v>135.90422124321182</v>
      </c>
      <c r="M23" t="s">
        <v>48</v>
      </c>
      <c r="N23" t="s">
        <v>49</v>
      </c>
      <c r="O23" s="6">
        <f ca="1">MAX(0,TODAY()-(MarketingTable[[#This Row],[WeekStartDate]]+6))</f>
        <v>224</v>
      </c>
    </row>
    <row r="24" spans="1:15">
      <c r="A24" s="1">
        <v>45817</v>
      </c>
      <c r="B24" t="s">
        <v>15</v>
      </c>
      <c r="C24" t="s">
        <v>50</v>
      </c>
      <c r="D24" s="2">
        <v>6498.05</v>
      </c>
      <c r="E24" s="5">
        <v>276118</v>
      </c>
      <c r="F24" s="5">
        <v>3997</v>
      </c>
      <c r="G24" s="5">
        <v>38</v>
      </c>
      <c r="H24" s="5">
        <v>9</v>
      </c>
      <c r="I24" s="3">
        <v>51853</v>
      </c>
      <c r="J24" s="2" cm="1">
        <f t="array" ref="J24">MarketingTable[[#This Row],[RevenueAttributed]]*_xlfn.SWITCH(MarketingTable[[#This Row],[DataQualityFlag]],"OK",1,"Missing UTMs",0.7,"Suspect attribution",0.4,1)</f>
        <v>51853</v>
      </c>
      <c r="K24" s="2">
        <f>IF(MarketingTable[[#This Row],[Leads]]=0,"",MarketingTable[[#This Row],[Spend]]/MarketingTable[[#This Row],[Leads]])</f>
        <v>171.00131578947369</v>
      </c>
      <c r="L24" s="4">
        <f>IF(MarketingTable[[#This Row],[Spend]]=0,"",MarketingTable[[#This Row],[RevenueAttributed]]/MarketingTable[[#This Row],[Spend]])</f>
        <v>7.9797785489492998</v>
      </c>
      <c r="N24" t="s">
        <v>18</v>
      </c>
      <c r="O24" s="6">
        <f ca="1">MAX(0,TODAY()-(MarketingTable[[#This Row],[WeekStartDate]]+6))</f>
        <v>217</v>
      </c>
    </row>
    <row r="25" spans="1:15">
      <c r="A25" s="1">
        <v>45824</v>
      </c>
      <c r="B25" t="s">
        <v>29</v>
      </c>
      <c r="C25" t="s">
        <v>35</v>
      </c>
      <c r="D25" s="2">
        <v>9402.98</v>
      </c>
      <c r="E25" s="5">
        <v>1094335</v>
      </c>
      <c r="F25" s="5">
        <v>20771</v>
      </c>
      <c r="G25" s="5">
        <v>164</v>
      </c>
      <c r="H25" s="5">
        <v>67</v>
      </c>
      <c r="I25" s="3">
        <v>42927</v>
      </c>
      <c r="J25" s="2" cm="1">
        <f t="array" ref="J25">MarketingTable[[#This Row],[RevenueAttributed]]*_xlfn.SWITCH(MarketingTable[[#This Row],[DataQualityFlag]],"OK",1,"Missing UTMs",0.7,"Suspect attribution",0.4,1)</f>
        <v>42927</v>
      </c>
      <c r="K25" s="2">
        <f>IF(MarketingTable[[#This Row],[Leads]]=0,"",MarketingTable[[#This Row],[Spend]]/MarketingTable[[#This Row],[Leads]])</f>
        <v>57.335243902439025</v>
      </c>
      <c r="L25" s="4">
        <f>IF(MarketingTable[[#This Row],[Spend]]=0,"",MarketingTable[[#This Row],[RevenueAttributed]]/MarketingTable[[#This Row],[Spend]])</f>
        <v>4.5652548447407097</v>
      </c>
      <c r="N25" t="s">
        <v>18</v>
      </c>
      <c r="O25" s="6">
        <f ca="1">MAX(0,TODAY()-(MarketingTable[[#This Row],[WeekStartDate]]+6))</f>
        <v>210</v>
      </c>
    </row>
    <row r="26" spans="1:15">
      <c r="A26" s="1">
        <v>45838</v>
      </c>
      <c r="B26" t="s">
        <v>23</v>
      </c>
      <c r="C26" t="s">
        <v>51</v>
      </c>
      <c r="D26" s="2">
        <v>6715.25</v>
      </c>
      <c r="E26" s="5">
        <v>547558</v>
      </c>
      <c r="F26" s="5">
        <v>16671</v>
      </c>
      <c r="G26" s="5">
        <v>258</v>
      </c>
      <c r="H26" s="5">
        <v>85</v>
      </c>
      <c r="I26" s="3">
        <v>88304</v>
      </c>
      <c r="J26" s="2" cm="1">
        <f t="array" ref="J26">MarketingTable[[#This Row],[RevenueAttributed]]*_xlfn.SWITCH(MarketingTable[[#This Row],[DataQualityFlag]],"OK",1,"Missing UTMs",0.7,"Suspect attribution",0.4,1)</f>
        <v>88304</v>
      </c>
      <c r="K26" s="2">
        <f>IF(MarketingTable[[#This Row],[Leads]]=0,"",MarketingTable[[#This Row],[Spend]]/MarketingTable[[#This Row],[Leads]])</f>
        <v>26.028100775193799</v>
      </c>
      <c r="L26" s="4">
        <f>IF(MarketingTable[[#This Row],[Spend]]=0,"",MarketingTable[[#This Row],[RevenueAttributed]]/MarketingTable[[#This Row],[Spend]])</f>
        <v>13.149771043520346</v>
      </c>
      <c r="N26" t="s">
        <v>18</v>
      </c>
      <c r="O26" s="6">
        <f ca="1">MAX(0,TODAY()-(MarketingTable[[#This Row],[WeekStartDate]]+6))</f>
        <v>196</v>
      </c>
    </row>
    <row r="27" spans="1:15">
      <c r="A27" s="1">
        <v>45838</v>
      </c>
      <c r="B27" t="s">
        <v>42</v>
      </c>
      <c r="C27" t="s">
        <v>52</v>
      </c>
      <c r="D27" s="2">
        <v>1258.52</v>
      </c>
      <c r="E27" s="5">
        <v>213207</v>
      </c>
      <c r="F27" s="5">
        <v>8531</v>
      </c>
      <c r="G27" s="5">
        <v>513</v>
      </c>
      <c r="H27" s="5">
        <v>226</v>
      </c>
      <c r="I27" s="3">
        <v>16992</v>
      </c>
      <c r="J27" s="2" cm="1">
        <f t="array" ref="J27">MarketingTable[[#This Row],[RevenueAttributed]]*_xlfn.SWITCH(MarketingTable[[#This Row],[DataQualityFlag]],"OK",1,"Missing UTMs",0.7,"Suspect attribution",0.4,1)</f>
        <v>16992</v>
      </c>
      <c r="K27" s="2">
        <f>IF(MarketingTable[[#This Row],[Leads]]=0,"",MarketingTable[[#This Row],[Spend]]/MarketingTable[[#This Row],[Leads]])</f>
        <v>2.4532553606237815</v>
      </c>
      <c r="L27" s="4">
        <f>IF(MarketingTable[[#This Row],[Spend]]=0,"",MarketingTable[[#This Row],[RevenueAttributed]]/MarketingTable[[#This Row],[Spend]])</f>
        <v>13.501573276547056</v>
      </c>
      <c r="N27" t="s">
        <v>18</v>
      </c>
      <c r="O27" s="6">
        <f ca="1">MAX(0,TODAY()-(MarketingTable[[#This Row],[WeekStartDate]]+6))</f>
        <v>196</v>
      </c>
    </row>
    <row r="28" spans="1:15">
      <c r="A28" s="1">
        <v>45845</v>
      </c>
      <c r="B28" t="s">
        <v>42</v>
      </c>
      <c r="C28" t="s">
        <v>53</v>
      </c>
      <c r="D28" s="2">
        <v>1746.36</v>
      </c>
      <c r="E28" s="5">
        <v>543620</v>
      </c>
      <c r="F28" s="5">
        <v>16249</v>
      </c>
      <c r="G28" s="5">
        <v>424</v>
      </c>
      <c r="H28" s="5">
        <v>184</v>
      </c>
      <c r="I28" s="3">
        <v>8721</v>
      </c>
      <c r="J28" s="2" cm="1">
        <f t="array" ref="J28">MarketingTable[[#This Row],[RevenueAttributed]]*_xlfn.SWITCH(MarketingTable[[#This Row],[DataQualityFlag]],"OK",1,"Missing UTMs",0.7,"Suspect attribution",0.4,1)</f>
        <v>8721</v>
      </c>
      <c r="K28" s="2">
        <f>IF(MarketingTable[[#This Row],[Leads]]=0,"",MarketingTable[[#This Row],[Spend]]/MarketingTable[[#This Row],[Leads]])</f>
        <v>4.1187735849056599</v>
      </c>
      <c r="L28" s="4">
        <f>IF(MarketingTable[[#This Row],[Spend]]=0,"",MarketingTable[[#This Row],[RevenueAttributed]]/MarketingTable[[#This Row],[Spend]])</f>
        <v>4.9938157081014225</v>
      </c>
      <c r="N28" t="s">
        <v>18</v>
      </c>
      <c r="O28" s="6">
        <f ca="1">MAX(0,TODAY()-(MarketingTable[[#This Row],[WeekStartDate]]+6))</f>
        <v>189</v>
      </c>
    </row>
    <row r="29" spans="1:15">
      <c r="A29" s="1">
        <v>45852</v>
      </c>
      <c r="B29" t="s">
        <v>23</v>
      </c>
      <c r="C29" t="s">
        <v>54</v>
      </c>
      <c r="D29" s="2">
        <v>14920.32</v>
      </c>
      <c r="E29" s="5">
        <v>755683</v>
      </c>
      <c r="F29" s="5">
        <v>23470</v>
      </c>
      <c r="G29" s="5">
        <v>1023</v>
      </c>
      <c r="H29" s="5">
        <v>386</v>
      </c>
      <c r="I29" s="3">
        <v>5348</v>
      </c>
      <c r="J29" s="2" cm="1">
        <f t="array" ref="J29">MarketingTable[[#This Row],[RevenueAttributed]]*_xlfn.SWITCH(MarketingTable[[#This Row],[DataQualityFlag]],"OK",1,"Missing UTMs",0.7,"Suspect attribution",0.4,1)</f>
        <v>3743.6</v>
      </c>
      <c r="K29" s="2">
        <f>IF(MarketingTable[[#This Row],[Leads]]=0,"",MarketingTable[[#This Row],[Spend]]/MarketingTable[[#This Row],[Leads]])</f>
        <v>14.584868035190615</v>
      </c>
      <c r="L29" s="4">
        <f>IF(MarketingTable[[#This Row],[Spend]]=0,"",MarketingTable[[#This Row],[RevenueAttributed]]/MarketingTable[[#This Row],[Spend]])</f>
        <v>0.35843735255007936</v>
      </c>
      <c r="M29" t="s">
        <v>27</v>
      </c>
      <c r="N29" t="s">
        <v>28</v>
      </c>
      <c r="O29" s="6">
        <f ca="1">MAX(0,TODAY()-(MarketingTable[[#This Row],[WeekStartDate]]+6))</f>
        <v>182</v>
      </c>
    </row>
    <row r="30" spans="1:15">
      <c r="A30" s="1">
        <v>45859</v>
      </c>
      <c r="B30" t="s">
        <v>23</v>
      </c>
      <c r="C30" t="s">
        <v>55</v>
      </c>
      <c r="D30" s="2">
        <v>12105.8</v>
      </c>
      <c r="E30" s="5">
        <v>907505</v>
      </c>
      <c r="F30" s="5">
        <v>21844</v>
      </c>
      <c r="G30" s="5">
        <v>423</v>
      </c>
      <c r="H30" s="5">
        <v>139</v>
      </c>
      <c r="I30" s="3">
        <v>61519</v>
      </c>
      <c r="J30" s="2" cm="1">
        <f t="array" ref="J30">MarketingTable[[#This Row],[RevenueAttributed]]*_xlfn.SWITCH(MarketingTable[[#This Row],[DataQualityFlag]],"OK",1,"Missing UTMs",0.7,"Suspect attribution",0.4,1)</f>
        <v>61519</v>
      </c>
      <c r="K30" s="2">
        <f>IF(MarketingTable[[#This Row],[Leads]]=0,"",MarketingTable[[#This Row],[Spend]]/MarketingTable[[#This Row],[Leads]])</f>
        <v>28.618912529550826</v>
      </c>
      <c r="L30" s="4">
        <f>IF(MarketingTable[[#This Row],[Spend]]=0,"",MarketingTable[[#This Row],[RevenueAttributed]]/MarketingTable[[#This Row],[Spend]])</f>
        <v>5.0817789819755825</v>
      </c>
      <c r="N30" t="s">
        <v>18</v>
      </c>
      <c r="O30" s="6">
        <f ca="1">MAX(0,TODAY()-(MarketingTable[[#This Row],[WeekStartDate]]+6))</f>
        <v>175</v>
      </c>
    </row>
    <row r="31" spans="1:15">
      <c r="A31" s="1">
        <v>45880</v>
      </c>
      <c r="B31" t="s">
        <v>29</v>
      </c>
      <c r="C31" t="s">
        <v>56</v>
      </c>
      <c r="D31" s="2">
        <v>7287.61</v>
      </c>
      <c r="E31" s="5">
        <v>980849</v>
      </c>
      <c r="F31" s="5">
        <v>7538</v>
      </c>
      <c r="G31" s="5">
        <v>55</v>
      </c>
      <c r="H31" s="5">
        <v>17</v>
      </c>
      <c r="I31" s="3">
        <v>3285</v>
      </c>
      <c r="J31" s="2" cm="1">
        <f t="array" ref="J31">MarketingTable[[#This Row],[RevenueAttributed]]*_xlfn.SWITCH(MarketingTable[[#This Row],[DataQualityFlag]],"OK",1,"Missing UTMs",0.7,"Suspect attribution",0.4,1)</f>
        <v>2299.5</v>
      </c>
      <c r="K31" s="2">
        <f>IF(MarketingTable[[#This Row],[Leads]]=0,"",MarketingTable[[#This Row],[Spend]]/MarketingTable[[#This Row],[Leads]])</f>
        <v>132.50199999999998</v>
      </c>
      <c r="L31" s="4">
        <f>IF(MarketingTable[[#This Row],[Spend]]=0,"",MarketingTable[[#This Row],[RevenueAttributed]]/MarketingTable[[#This Row],[Spend]])</f>
        <v>0.45076506563880342</v>
      </c>
      <c r="M31" t="s">
        <v>27</v>
      </c>
      <c r="N31" t="s">
        <v>28</v>
      </c>
      <c r="O31" s="6">
        <f ca="1">MAX(0,TODAY()-(MarketingTable[[#This Row],[WeekStartDate]]+6))</f>
        <v>154</v>
      </c>
    </row>
    <row r="32" spans="1:15">
      <c r="A32" s="1">
        <v>45873</v>
      </c>
      <c r="B32" t="s">
        <v>25</v>
      </c>
      <c r="C32" t="s">
        <v>57</v>
      </c>
      <c r="D32" s="2">
        <v>1610.58</v>
      </c>
      <c r="E32" s="5">
        <v>641591</v>
      </c>
      <c r="F32" s="5">
        <v>30491</v>
      </c>
      <c r="G32" s="5">
        <v>209</v>
      </c>
      <c r="H32" s="5">
        <v>61</v>
      </c>
      <c r="I32" s="3">
        <v>21414</v>
      </c>
      <c r="J32" s="2" cm="1">
        <f t="array" ref="J32">MarketingTable[[#This Row],[RevenueAttributed]]*_xlfn.SWITCH(MarketingTable[[#This Row],[DataQualityFlag]],"OK",1,"Missing UTMs",0.7,"Suspect attribution",0.4,1)</f>
        <v>21414</v>
      </c>
      <c r="K32" s="2">
        <f>IF(MarketingTable[[#This Row],[Leads]]=0,"",MarketingTable[[#This Row],[Spend]]/MarketingTable[[#This Row],[Leads]])</f>
        <v>7.7061244019138755</v>
      </c>
      <c r="L32" s="4">
        <f>IF(MarketingTable[[#This Row],[Spend]]=0,"",MarketingTable[[#This Row],[RevenueAttributed]]/MarketingTable[[#This Row],[Spend]])</f>
        <v>13.29583131542674</v>
      </c>
      <c r="N32" t="s">
        <v>18</v>
      </c>
      <c r="O32" s="6">
        <f ca="1">MAX(0,TODAY()-(MarketingTable[[#This Row],[WeekStartDate]]+6))</f>
        <v>161</v>
      </c>
    </row>
    <row r="33" spans="1:15">
      <c r="A33" s="1">
        <v>45880</v>
      </c>
      <c r="B33" t="s">
        <v>19</v>
      </c>
      <c r="C33" t="s">
        <v>58</v>
      </c>
      <c r="D33" s="2">
        <v>16831.93</v>
      </c>
      <c r="E33" s="5">
        <v>340990</v>
      </c>
      <c r="F33" s="5">
        <v>2602</v>
      </c>
      <c r="G33" s="5">
        <v>49</v>
      </c>
      <c r="H33" s="5">
        <v>19</v>
      </c>
      <c r="I33" s="3">
        <v>79391</v>
      </c>
      <c r="J33" s="2" cm="1">
        <f t="array" ref="J33">MarketingTable[[#This Row],[RevenueAttributed]]*_xlfn.SWITCH(MarketingTable[[#This Row],[DataQualityFlag]],"OK",1,"Missing UTMs",0.7,"Suspect attribution",0.4,1)</f>
        <v>79391</v>
      </c>
      <c r="K33" s="2">
        <f>IF(MarketingTable[[#This Row],[Leads]]=0,"",MarketingTable[[#This Row],[Spend]]/MarketingTable[[#This Row],[Leads]])</f>
        <v>343.50877551020409</v>
      </c>
      <c r="L33" s="4">
        <f>IF(MarketingTable[[#This Row],[Spend]]=0,"",MarketingTable[[#This Row],[RevenueAttributed]]/MarketingTable[[#This Row],[Spend]])</f>
        <v>4.7166902428895554</v>
      </c>
      <c r="N33" t="s">
        <v>18</v>
      </c>
      <c r="O33" s="6">
        <f ca="1">MAX(0,TODAY()-(MarketingTable[[#This Row],[WeekStartDate]]+6))</f>
        <v>154</v>
      </c>
    </row>
    <row r="34" spans="1:15">
      <c r="A34" s="1">
        <v>45887</v>
      </c>
      <c r="B34" t="s">
        <v>29</v>
      </c>
      <c r="C34" t="s">
        <v>59</v>
      </c>
      <c r="D34" s="2">
        <v>5314.85</v>
      </c>
      <c r="E34" s="5">
        <v>461968</v>
      </c>
      <c r="F34" s="5">
        <v>8195</v>
      </c>
      <c r="G34" s="5">
        <v>125</v>
      </c>
      <c r="H34" s="5">
        <v>26</v>
      </c>
      <c r="I34" s="3">
        <v>18718</v>
      </c>
      <c r="J34" s="2" cm="1">
        <f t="array" ref="J34">MarketingTable[[#This Row],[RevenueAttributed]]*_xlfn.SWITCH(MarketingTable[[#This Row],[DataQualityFlag]],"OK",1,"Missing UTMs",0.7,"Suspect attribution",0.4,1)</f>
        <v>18718</v>
      </c>
      <c r="K34" s="2">
        <f>IF(MarketingTable[[#This Row],[Leads]]=0,"",MarketingTable[[#This Row],[Spend]]/MarketingTable[[#This Row],[Leads]])</f>
        <v>42.518800000000006</v>
      </c>
      <c r="L34" s="4">
        <f>IF(MarketingTable[[#This Row],[Spend]]=0,"",MarketingTable[[#This Row],[RevenueAttributed]]/MarketingTable[[#This Row],[Spend]])</f>
        <v>3.5218303432834412</v>
      </c>
      <c r="N34" t="s">
        <v>18</v>
      </c>
      <c r="O34" s="6">
        <f ca="1">MAX(0,TODAY()-(MarketingTable[[#This Row],[WeekStartDate]]+6))</f>
        <v>147</v>
      </c>
    </row>
    <row r="35" spans="1:15">
      <c r="A35" s="1">
        <v>45894</v>
      </c>
      <c r="B35" t="s">
        <v>29</v>
      </c>
      <c r="C35" t="s">
        <v>60</v>
      </c>
      <c r="D35" s="2">
        <v>4004.64</v>
      </c>
      <c r="E35" s="5">
        <v>374791</v>
      </c>
      <c r="F35" s="5">
        <v>6965</v>
      </c>
      <c r="G35" s="5">
        <v>62</v>
      </c>
      <c r="H35" s="5">
        <v>18</v>
      </c>
      <c r="I35" s="3">
        <v>34627</v>
      </c>
      <c r="J35" s="2" cm="1">
        <f t="array" ref="J35">MarketingTable[[#This Row],[RevenueAttributed]]*_xlfn.SWITCH(MarketingTable[[#This Row],[DataQualityFlag]],"OK",1,"Missing UTMs",0.7,"Suspect attribution",0.4,1)</f>
        <v>34627</v>
      </c>
      <c r="K35" s="2">
        <f>IF(MarketingTable[[#This Row],[Leads]]=0,"",MarketingTable[[#This Row],[Spend]]/MarketingTable[[#This Row],[Leads]])</f>
        <v>64.590967741935486</v>
      </c>
      <c r="L35" s="4">
        <f>IF(MarketingTable[[#This Row],[Spend]]=0,"",MarketingTable[[#This Row],[RevenueAttributed]]/MarketingTable[[#This Row],[Spend]])</f>
        <v>8.6467198050261693</v>
      </c>
      <c r="N35" t="s">
        <v>18</v>
      </c>
      <c r="O35" s="6">
        <f ca="1">MAX(0,TODAY()-(MarketingTable[[#This Row],[WeekStartDate]]+6))</f>
        <v>140</v>
      </c>
    </row>
    <row r="36" spans="1:15">
      <c r="A36" s="1">
        <v>45915</v>
      </c>
      <c r="B36" t="s">
        <v>19</v>
      </c>
      <c r="C36" t="s">
        <v>55</v>
      </c>
      <c r="D36" s="2">
        <v>11328.31</v>
      </c>
      <c r="E36" s="5">
        <v>413831</v>
      </c>
      <c r="F36" s="5">
        <v>4512</v>
      </c>
      <c r="G36" s="5">
        <v>117</v>
      </c>
      <c r="H36" s="5">
        <v>46</v>
      </c>
      <c r="I36" s="3">
        <v>39838</v>
      </c>
      <c r="J36" s="2" cm="1">
        <f t="array" ref="J36">MarketingTable[[#This Row],[RevenueAttributed]]*_xlfn.SWITCH(MarketingTable[[#This Row],[DataQualityFlag]],"OK",1,"Missing UTMs",0.7,"Suspect attribution",0.4,1)</f>
        <v>39838</v>
      </c>
      <c r="K36" s="2">
        <f>IF(MarketingTable[[#This Row],[Leads]]=0,"",MarketingTable[[#This Row],[Spend]]/MarketingTable[[#This Row],[Leads]])</f>
        <v>96.823162393162391</v>
      </c>
      <c r="L36" s="4">
        <f>IF(MarketingTable[[#This Row],[Spend]]=0,"",MarketingTable[[#This Row],[RevenueAttributed]]/MarketingTable[[#This Row],[Spend]])</f>
        <v>3.5166763621405135</v>
      </c>
      <c r="N36" t="s">
        <v>18</v>
      </c>
      <c r="O36" s="6">
        <f ca="1">MAX(0,TODAY()-(MarketingTable[[#This Row],[WeekStartDate]]+6))</f>
        <v>119</v>
      </c>
    </row>
    <row r="37" spans="1:15">
      <c r="A37" s="1">
        <v>45908</v>
      </c>
      <c r="B37" t="s">
        <v>42</v>
      </c>
      <c r="C37" t="s">
        <v>35</v>
      </c>
      <c r="D37" s="2">
        <v>1375.65</v>
      </c>
      <c r="E37" s="5">
        <v>295805</v>
      </c>
      <c r="F37" s="5">
        <v>14097</v>
      </c>
      <c r="G37" s="5">
        <v>243</v>
      </c>
      <c r="H37" s="5">
        <v>109</v>
      </c>
      <c r="I37" s="3">
        <v>7649</v>
      </c>
      <c r="J37" s="2" cm="1">
        <f t="array" ref="J37">MarketingTable[[#This Row],[RevenueAttributed]]*_xlfn.SWITCH(MarketingTable[[#This Row],[DataQualityFlag]],"OK",1,"Missing UTMs",0.7,"Suspect attribution",0.4,1)</f>
        <v>7649</v>
      </c>
      <c r="K37" s="2">
        <f>IF(MarketingTable[[#This Row],[Leads]]=0,"",MarketingTable[[#This Row],[Spend]]/MarketingTable[[#This Row],[Leads]])</f>
        <v>5.6611111111111114</v>
      </c>
      <c r="L37" s="4">
        <f>IF(MarketingTable[[#This Row],[Spend]]=0,"",MarketingTable[[#This Row],[RevenueAttributed]]/MarketingTable[[#This Row],[Spend]])</f>
        <v>5.5602805946279936</v>
      </c>
      <c r="N37" t="s">
        <v>18</v>
      </c>
      <c r="O37" s="6">
        <f ca="1">MAX(0,TODAY()-(MarketingTable[[#This Row],[WeekStartDate]]+6))</f>
        <v>126</v>
      </c>
    </row>
    <row r="38" spans="1:15">
      <c r="A38" s="1">
        <v>45915</v>
      </c>
      <c r="B38" t="s">
        <v>23</v>
      </c>
      <c r="C38" t="s">
        <v>61</v>
      </c>
      <c r="D38" s="2">
        <v>15263.23</v>
      </c>
      <c r="E38" s="5">
        <v>1621205</v>
      </c>
      <c r="F38" s="5">
        <v>36559</v>
      </c>
      <c r="G38" s="5">
        <v>656</v>
      </c>
      <c r="H38" s="5">
        <v>159</v>
      </c>
      <c r="I38" s="3">
        <v>118375</v>
      </c>
      <c r="J38" s="2" cm="1">
        <f t="array" ref="J38">MarketingTable[[#This Row],[RevenueAttributed]]*_xlfn.SWITCH(MarketingTable[[#This Row],[DataQualityFlag]],"OK",1,"Missing UTMs",0.7,"Suspect attribution",0.4,1)</f>
        <v>118375</v>
      </c>
      <c r="K38" s="2">
        <f>IF(MarketingTable[[#This Row],[Leads]]=0,"",MarketingTable[[#This Row],[Spend]]/MarketingTable[[#This Row],[Leads]])</f>
        <v>23.267118902439023</v>
      </c>
      <c r="L38" s="4">
        <f>IF(MarketingTable[[#This Row],[Spend]]=0,"",MarketingTable[[#This Row],[RevenueAttributed]]/MarketingTable[[#This Row],[Spend]])</f>
        <v>7.7555668099085189</v>
      </c>
      <c r="N38" t="s">
        <v>18</v>
      </c>
      <c r="O38" s="6">
        <f ca="1">MAX(0,TODAY()-(MarketingTable[[#This Row],[WeekStartDate]]+6))</f>
        <v>119</v>
      </c>
    </row>
    <row r="39" spans="1:15">
      <c r="A39" s="1">
        <v>45922</v>
      </c>
      <c r="B39" t="s">
        <v>42</v>
      </c>
      <c r="C39" t="s">
        <v>62</v>
      </c>
      <c r="D39" s="2">
        <v>1714.41</v>
      </c>
      <c r="E39" s="5">
        <v>848462</v>
      </c>
      <c r="F39" s="5">
        <v>13740</v>
      </c>
      <c r="G39" s="5">
        <v>822</v>
      </c>
      <c r="H39" s="5">
        <v>253</v>
      </c>
      <c r="I39" s="3">
        <v>8281</v>
      </c>
      <c r="J39" s="2" cm="1">
        <f t="array" ref="J39">MarketingTable[[#This Row],[RevenueAttributed]]*_xlfn.SWITCH(MarketingTable[[#This Row],[DataQualityFlag]],"OK",1,"Missing UTMs",0.7,"Suspect attribution",0.4,1)</f>
        <v>8281</v>
      </c>
      <c r="K39" s="2">
        <f>IF(MarketingTable[[#This Row],[Leads]]=0,"",MarketingTable[[#This Row],[Spend]]/MarketingTable[[#This Row],[Leads]])</f>
        <v>2.0856569343065696</v>
      </c>
      <c r="L39" s="4">
        <f>IF(MarketingTable[[#This Row],[Spend]]=0,"",MarketingTable[[#This Row],[RevenueAttributed]]/MarketingTable[[#This Row],[Spend]])</f>
        <v>4.830233141430579</v>
      </c>
      <c r="N39" t="s">
        <v>18</v>
      </c>
      <c r="O39" s="6">
        <f ca="1">MAX(0,TODAY()-(MarketingTable[[#This Row],[WeekStartDate]]+6))</f>
        <v>112</v>
      </c>
    </row>
    <row r="40" spans="1:15">
      <c r="A40" s="1">
        <v>45929</v>
      </c>
      <c r="B40" t="s">
        <v>25</v>
      </c>
      <c r="C40" t="s">
        <v>63</v>
      </c>
      <c r="D40" s="2">
        <v>1918.24</v>
      </c>
      <c r="E40" s="5">
        <v>1120957</v>
      </c>
      <c r="F40" s="5">
        <v>23017</v>
      </c>
      <c r="G40" s="5">
        <v>444</v>
      </c>
      <c r="H40" s="5">
        <v>104</v>
      </c>
      <c r="I40" s="3">
        <v>11968</v>
      </c>
      <c r="J40" s="2" cm="1">
        <f t="array" ref="J40">MarketingTable[[#This Row],[RevenueAttributed]]*_xlfn.SWITCH(MarketingTable[[#This Row],[DataQualityFlag]],"OK",1,"Missing UTMs",0.7,"Suspect attribution",0.4,1)</f>
        <v>11968</v>
      </c>
      <c r="K40" s="2">
        <f>IF(MarketingTable[[#This Row],[Leads]]=0,"",MarketingTable[[#This Row],[Spend]]/MarketingTable[[#This Row],[Leads]])</f>
        <v>4.3203603603603602</v>
      </c>
      <c r="L40" s="4">
        <f>IF(MarketingTable[[#This Row],[Spend]]=0,"",MarketingTable[[#This Row],[RevenueAttributed]]/MarketingTable[[#This Row],[Spend]])</f>
        <v>6.2390524647593626</v>
      </c>
      <c r="N40" t="s">
        <v>18</v>
      </c>
      <c r="O40" s="6">
        <f ca="1">MAX(0,TODAY()-(MarketingTable[[#This Row],[WeekStartDate]]+6))</f>
        <v>105</v>
      </c>
    </row>
    <row r="41" spans="1:15">
      <c r="A41" s="1">
        <v>45936</v>
      </c>
      <c r="B41" t="s">
        <v>15</v>
      </c>
      <c r="C41" t="s">
        <v>64</v>
      </c>
      <c r="D41" s="2">
        <v>3954.67</v>
      </c>
      <c r="E41" s="5">
        <v>226865</v>
      </c>
      <c r="F41" s="5">
        <v>4228</v>
      </c>
      <c r="G41" s="5">
        <v>64</v>
      </c>
      <c r="H41" s="5">
        <v>17</v>
      </c>
      <c r="I41" s="3">
        <v>10932</v>
      </c>
      <c r="J41" s="2" cm="1">
        <f t="array" ref="J41">MarketingTable[[#This Row],[RevenueAttributed]]*_xlfn.SWITCH(MarketingTable[[#This Row],[DataQualityFlag]],"OK",1,"Missing UTMs",0.7,"Suspect attribution",0.4,1)</f>
        <v>10932</v>
      </c>
      <c r="K41" s="2">
        <f>IF(MarketingTable[[#This Row],[Leads]]=0,"",MarketingTable[[#This Row],[Spend]]/MarketingTable[[#This Row],[Leads]])</f>
        <v>61.791718750000001</v>
      </c>
      <c r="L41" s="4">
        <f>IF(MarketingTable[[#This Row],[Spend]]=0,"",MarketingTable[[#This Row],[RevenueAttributed]]/MarketingTable[[#This Row],[Spend]])</f>
        <v>2.7643267326983034</v>
      </c>
      <c r="N41" t="s">
        <v>18</v>
      </c>
      <c r="O41" s="6">
        <f ca="1">MAX(0,TODAY()-(MarketingTable[[#This Row],[WeekStartDate]]+6))</f>
        <v>98</v>
      </c>
    </row>
    <row r="42" spans="1:15">
      <c r="A42" s="1">
        <v>45943</v>
      </c>
      <c r="B42" t="s">
        <v>19</v>
      </c>
      <c r="C42" t="s">
        <v>65</v>
      </c>
      <c r="D42" s="2">
        <v>9060.34</v>
      </c>
      <c r="E42" s="5">
        <v>300631</v>
      </c>
      <c r="F42" s="5">
        <v>3297</v>
      </c>
      <c r="G42" s="5">
        <v>52</v>
      </c>
      <c r="H42" s="5">
        <v>17</v>
      </c>
      <c r="I42" s="3">
        <v>52723</v>
      </c>
      <c r="J42" s="2" cm="1">
        <f t="array" ref="J42">MarketingTable[[#This Row],[RevenueAttributed]]*_xlfn.SWITCH(MarketingTable[[#This Row],[DataQualityFlag]],"OK",1,"Missing UTMs",0.7,"Suspect attribution",0.4,1)</f>
        <v>52723</v>
      </c>
      <c r="K42" s="2">
        <f>IF(MarketingTable[[#This Row],[Leads]]=0,"",MarketingTable[[#This Row],[Spend]]/MarketingTable[[#This Row],[Leads]])</f>
        <v>174.2373076923077</v>
      </c>
      <c r="L42" s="4">
        <f>IF(MarketingTable[[#This Row],[Spend]]=0,"",MarketingTable[[#This Row],[RevenueAttributed]]/MarketingTable[[#This Row],[Spend]])</f>
        <v>5.8190972965694447</v>
      </c>
      <c r="N42" t="s">
        <v>18</v>
      </c>
      <c r="O42" s="6">
        <f ca="1">MAX(0,TODAY()-(MarketingTable[[#This Row],[WeekStartDate]]+6))</f>
        <v>91</v>
      </c>
    </row>
    <row r="43" spans="1:15">
      <c r="A43" s="1">
        <v>45950</v>
      </c>
      <c r="B43" t="s">
        <v>29</v>
      </c>
      <c r="C43" t="s">
        <v>66</v>
      </c>
      <c r="D43" s="2">
        <v>13046.55</v>
      </c>
      <c r="E43" s="5">
        <v>1557451</v>
      </c>
      <c r="F43" s="5">
        <v>15867</v>
      </c>
      <c r="G43" s="5">
        <v>2</v>
      </c>
      <c r="H43" s="5">
        <v>1</v>
      </c>
      <c r="I43" s="3">
        <v>20869</v>
      </c>
      <c r="J43" s="2" cm="1">
        <f t="array" ref="J43">MarketingTable[[#This Row],[RevenueAttributed]]*_xlfn.SWITCH(MarketingTable[[#This Row],[DataQualityFlag]],"OK",1,"Missing UTMs",0.7,"Suspect attribution",0.4,1)</f>
        <v>20869</v>
      </c>
      <c r="K43" s="2">
        <f>IF(MarketingTable[[#This Row],[Leads]]=0,"",MarketingTable[[#This Row],[Spend]]/MarketingTable[[#This Row],[Leads]])</f>
        <v>6523.2749999999996</v>
      </c>
      <c r="L43" s="4">
        <f>IF(MarketingTable[[#This Row],[Spend]]=0,"",MarketingTable[[#This Row],[RevenueAttributed]]/MarketingTable[[#This Row],[Spend]])</f>
        <v>1.5995799655847716</v>
      </c>
      <c r="M43" t="s">
        <v>17</v>
      </c>
      <c r="N43" t="s">
        <v>18</v>
      </c>
      <c r="O43" s="6">
        <f ca="1">MAX(0,TODAY()-(MarketingTable[[#This Row],[WeekStartDate]]+6))</f>
        <v>84</v>
      </c>
    </row>
    <row r="44" spans="1:15">
      <c r="A44" s="1">
        <v>45957</v>
      </c>
      <c r="B44" t="s">
        <v>42</v>
      </c>
      <c r="C44" t="s">
        <v>67</v>
      </c>
      <c r="D44" s="2">
        <v>1367.34</v>
      </c>
      <c r="E44" s="5">
        <v>375120</v>
      </c>
      <c r="F44" s="5">
        <v>19039</v>
      </c>
      <c r="G44" s="5">
        <v>775</v>
      </c>
      <c r="H44" s="5">
        <v>204</v>
      </c>
      <c r="I44" s="3">
        <v>8285</v>
      </c>
      <c r="J44" s="2" cm="1">
        <f t="array" ref="J44">MarketingTable[[#This Row],[RevenueAttributed]]*_xlfn.SWITCH(MarketingTable[[#This Row],[DataQualityFlag]],"OK",1,"Missing UTMs",0.7,"Suspect attribution",0.4,1)</f>
        <v>8285</v>
      </c>
      <c r="K44" s="2">
        <f>IF(MarketingTable[[#This Row],[Leads]]=0,"",MarketingTable[[#This Row],[Spend]]/MarketingTable[[#This Row],[Leads]])</f>
        <v>1.7643096774193547</v>
      </c>
      <c r="L44" s="4">
        <f>IF(MarketingTable[[#This Row],[Spend]]=0,"",MarketingTable[[#This Row],[RevenueAttributed]]/MarketingTable[[#This Row],[Spend]])</f>
        <v>6.059209852706716</v>
      </c>
      <c r="N44" t="s">
        <v>18</v>
      </c>
      <c r="O44" s="6">
        <f ca="1">MAX(0,TODAY()-(MarketingTable[[#This Row],[WeekStartDate]]+6))</f>
        <v>77</v>
      </c>
    </row>
    <row r="45" spans="1:15">
      <c r="A45" s="1">
        <v>45964</v>
      </c>
      <c r="B45" t="s">
        <v>23</v>
      </c>
      <c r="C45" t="s">
        <v>68</v>
      </c>
      <c r="D45" s="2">
        <v>11419.55</v>
      </c>
      <c r="E45" s="5">
        <v>588374</v>
      </c>
      <c r="F45" s="5">
        <v>33088</v>
      </c>
      <c r="G45" s="5">
        <v>448</v>
      </c>
      <c r="H45" s="5">
        <v>128</v>
      </c>
      <c r="I45" s="3">
        <v>106815</v>
      </c>
      <c r="J45" s="2" cm="1">
        <f t="array" ref="J45">MarketingTable[[#This Row],[RevenueAttributed]]*_xlfn.SWITCH(MarketingTable[[#This Row],[DataQualityFlag]],"OK",1,"Missing UTMs",0.7,"Suspect attribution",0.4,1)</f>
        <v>106815</v>
      </c>
      <c r="K45" s="2">
        <f>IF(MarketingTable[[#This Row],[Leads]]=0,"",MarketingTable[[#This Row],[Spend]]/MarketingTable[[#This Row],[Leads]])</f>
        <v>25.490066964285713</v>
      </c>
      <c r="L45" s="4">
        <f>IF(MarketingTable[[#This Row],[Spend]]=0,"",MarketingTable[[#This Row],[RevenueAttributed]]/MarketingTable[[#This Row],[Spend]])</f>
        <v>9.3536960738382859</v>
      </c>
      <c r="N45" t="s">
        <v>18</v>
      </c>
      <c r="O45" s="6">
        <f ca="1">MAX(0,TODAY()-(MarketingTable[[#This Row],[WeekStartDate]]+6))</f>
        <v>70</v>
      </c>
    </row>
    <row r="46" spans="1:15">
      <c r="A46" s="1">
        <v>45978</v>
      </c>
      <c r="B46" t="s">
        <v>29</v>
      </c>
      <c r="C46" t="s">
        <v>69</v>
      </c>
      <c r="D46" s="2">
        <v>4499.1000000000004</v>
      </c>
      <c r="E46" s="5">
        <v>504607</v>
      </c>
      <c r="F46" s="5">
        <v>10301</v>
      </c>
      <c r="G46" s="5">
        <v>64</v>
      </c>
      <c r="H46" s="5">
        <v>23</v>
      </c>
      <c r="I46" s="3">
        <v>7818</v>
      </c>
      <c r="J46" s="2" cm="1">
        <f t="array" ref="J46">MarketingTable[[#This Row],[RevenueAttributed]]*_xlfn.SWITCH(MarketingTable[[#This Row],[DataQualityFlag]],"OK",1,"Missing UTMs",0.7,"Suspect attribution",0.4,1)</f>
        <v>7818</v>
      </c>
      <c r="K46" s="2">
        <f>IF(MarketingTable[[#This Row],[Leads]]=0,"",MarketingTable[[#This Row],[Spend]]/MarketingTable[[#This Row],[Leads]])</f>
        <v>70.298437500000006</v>
      </c>
      <c r="L46" s="4">
        <f>IF(MarketingTable[[#This Row],[Spend]]=0,"",MarketingTable[[#This Row],[RevenueAttributed]]/MarketingTable[[#This Row],[Spend]])</f>
        <v>1.7376808695072345</v>
      </c>
      <c r="N46" t="s">
        <v>18</v>
      </c>
      <c r="O46" s="6">
        <f ca="1">MAX(0,TODAY()-(MarketingTable[[#This Row],[WeekStartDate]]+6))</f>
        <v>56</v>
      </c>
    </row>
    <row r="47" spans="1:15">
      <c r="A47" s="1">
        <v>45978</v>
      </c>
      <c r="B47" t="s">
        <v>42</v>
      </c>
      <c r="C47" t="s">
        <v>70</v>
      </c>
      <c r="D47" s="2">
        <v>311.45999999999998</v>
      </c>
      <c r="E47" s="5">
        <v>60590</v>
      </c>
      <c r="F47" s="5">
        <v>2395</v>
      </c>
      <c r="G47" s="5">
        <v>52</v>
      </c>
      <c r="H47" s="5">
        <v>15</v>
      </c>
      <c r="I47" s="3">
        <v>907</v>
      </c>
      <c r="J47" s="2" cm="1">
        <f t="array" ref="J47">MarketingTable[[#This Row],[RevenueAttributed]]*_xlfn.SWITCH(MarketingTable[[#This Row],[DataQualityFlag]],"OK",1,"Missing UTMs",0.7,"Suspect attribution",0.4,1)</f>
        <v>634.9</v>
      </c>
      <c r="K47" s="2">
        <f>IF(MarketingTable[[#This Row],[Leads]]=0,"",MarketingTable[[#This Row],[Spend]]/MarketingTable[[#This Row],[Leads]])</f>
        <v>5.9896153846153846</v>
      </c>
      <c r="L47" s="4">
        <f>IF(MarketingTable[[#This Row],[Spend]]=0,"",MarketingTable[[#This Row],[RevenueAttributed]]/MarketingTable[[#This Row],[Spend]])</f>
        <v>2.9120914403133629</v>
      </c>
      <c r="M47" t="s">
        <v>27</v>
      </c>
      <c r="N47" t="s">
        <v>28</v>
      </c>
      <c r="O47" s="6">
        <f ca="1">MAX(0,TODAY()-(MarketingTable[[#This Row],[WeekStartDate]]+6))</f>
        <v>56</v>
      </c>
    </row>
    <row r="48" spans="1:15">
      <c r="A48" s="1">
        <v>45985</v>
      </c>
      <c r="B48" t="s">
        <v>42</v>
      </c>
      <c r="C48" t="s">
        <v>71</v>
      </c>
      <c r="D48" s="2">
        <v>1996.66</v>
      </c>
      <c r="E48" s="5">
        <v>368263</v>
      </c>
      <c r="F48" s="5">
        <v>7731</v>
      </c>
      <c r="G48" s="5">
        <v>0</v>
      </c>
      <c r="H48" s="5">
        <v>0</v>
      </c>
      <c r="I48" s="3">
        <v>8069</v>
      </c>
      <c r="J48" s="2" cm="1">
        <f t="array" ref="J48">MarketingTable[[#This Row],[RevenueAttributed]]*_xlfn.SWITCH(MarketingTable[[#This Row],[DataQualityFlag]],"OK",1,"Missing UTMs",0.7,"Suspect attribution",0.4,1)</f>
        <v>8069</v>
      </c>
      <c r="K48" s="2" t="str">
        <f>IF(MarketingTable[[#This Row],[Leads]]=0,"",MarketingTable[[#This Row],[Spend]]/MarketingTable[[#This Row],[Leads]])</f>
        <v/>
      </c>
      <c r="L48" s="4">
        <f>IF(MarketingTable[[#This Row],[Spend]]=0,"",MarketingTable[[#This Row],[RevenueAttributed]]/MarketingTable[[#This Row],[Spend]])</f>
        <v>4.0412488856390167</v>
      </c>
      <c r="M48" t="s">
        <v>31</v>
      </c>
      <c r="N48" t="s">
        <v>18</v>
      </c>
      <c r="O48" s="6">
        <f ca="1">MAX(0,TODAY()-(MarketingTable[[#This Row],[WeekStartDate]]+6))</f>
        <v>49</v>
      </c>
    </row>
    <row r="49" spans="1:15">
      <c r="A49" s="1">
        <v>45992</v>
      </c>
      <c r="B49" t="s">
        <v>15</v>
      </c>
      <c r="C49" t="s">
        <v>72</v>
      </c>
      <c r="D49" s="2">
        <v>2656.36</v>
      </c>
      <c r="E49" s="5">
        <v>158059</v>
      </c>
      <c r="F49" s="5">
        <v>1814</v>
      </c>
      <c r="G49" s="5">
        <v>39</v>
      </c>
      <c r="H49" s="5">
        <v>13</v>
      </c>
      <c r="I49" s="3">
        <v>22051</v>
      </c>
      <c r="J49" s="2" cm="1">
        <f t="array" ref="J49">MarketingTable[[#This Row],[RevenueAttributed]]*_xlfn.SWITCH(MarketingTable[[#This Row],[DataQualityFlag]],"OK",1,"Missing UTMs",0.7,"Suspect attribution",0.4,1)</f>
        <v>22051</v>
      </c>
      <c r="K49" s="2">
        <f>IF(MarketingTable[[#This Row],[Leads]]=0,"",MarketingTable[[#This Row],[Spend]]/MarketingTable[[#This Row],[Leads]])</f>
        <v>68.111794871794871</v>
      </c>
      <c r="L49" s="4">
        <f>IF(MarketingTable[[#This Row],[Spend]]=0,"",MarketingTable[[#This Row],[RevenueAttributed]]/MarketingTable[[#This Row],[Spend]])</f>
        <v>8.3012091734554048</v>
      </c>
      <c r="N49" t="s">
        <v>18</v>
      </c>
      <c r="O49" s="6">
        <f ca="1">MAX(0,TODAY()-(MarketingTable[[#This Row],[WeekStartDate]]+6))</f>
        <v>42</v>
      </c>
    </row>
    <row r="50" spans="1:15">
      <c r="A50" s="1">
        <v>45999</v>
      </c>
      <c r="B50" t="s">
        <v>29</v>
      </c>
      <c r="C50" t="s">
        <v>73</v>
      </c>
      <c r="D50" s="2">
        <v>7540.24</v>
      </c>
      <c r="E50" s="5">
        <v>823604</v>
      </c>
      <c r="F50" s="5">
        <v>13353</v>
      </c>
      <c r="G50" s="5">
        <v>135</v>
      </c>
      <c r="H50" s="5">
        <v>34</v>
      </c>
      <c r="I50" s="3">
        <v>26579</v>
      </c>
      <c r="J50" s="2" cm="1">
        <f t="array" ref="J50">MarketingTable[[#This Row],[RevenueAttributed]]*_xlfn.SWITCH(MarketingTable[[#This Row],[DataQualityFlag]],"OK",1,"Missing UTMs",0.7,"Suspect attribution",0.4,1)</f>
        <v>26579</v>
      </c>
      <c r="K50" s="2">
        <f>IF(MarketingTable[[#This Row],[Leads]]=0,"",MarketingTable[[#This Row],[Spend]]/MarketingTable[[#This Row],[Leads]])</f>
        <v>55.85362962962963</v>
      </c>
      <c r="L50" s="4">
        <f>IF(MarketingTable[[#This Row],[Spend]]=0,"",MarketingTable[[#This Row],[RevenueAttributed]]/MarketingTable[[#This Row],[Spend]])</f>
        <v>3.5249541128664341</v>
      </c>
      <c r="N50" t="s">
        <v>18</v>
      </c>
      <c r="O50" s="6">
        <f ca="1">MAX(0,TODAY()-(MarketingTable[[#This Row],[WeekStartDate]]+6))</f>
        <v>35</v>
      </c>
    </row>
    <row r="51" spans="1:15">
      <c r="A51" s="1">
        <v>46013</v>
      </c>
      <c r="B51" t="s">
        <v>23</v>
      </c>
      <c r="C51" t="s">
        <v>74</v>
      </c>
      <c r="D51" s="2">
        <v>8582.2199999999993</v>
      </c>
      <c r="E51" s="5">
        <v>466010</v>
      </c>
      <c r="F51" s="5">
        <v>23026</v>
      </c>
      <c r="G51" s="5">
        <v>671</v>
      </c>
      <c r="H51" s="5">
        <v>141</v>
      </c>
      <c r="I51" s="3">
        <v>67176</v>
      </c>
      <c r="J51" s="2" cm="1">
        <f t="array" ref="J51">MarketingTable[[#This Row],[RevenueAttributed]]*_xlfn.SWITCH(MarketingTable[[#This Row],[DataQualityFlag]],"OK",1,"Missing UTMs",0.7,"Suspect attribution",0.4,1)</f>
        <v>67176</v>
      </c>
      <c r="K51" s="2">
        <f>IF(MarketingTable[[#This Row],[Leads]]=0,"",MarketingTable[[#This Row],[Spend]]/MarketingTable[[#This Row],[Leads]])</f>
        <v>12.790193740685543</v>
      </c>
      <c r="L51" s="4">
        <f>IF(MarketingTable[[#This Row],[Spend]]=0,"",MarketingTable[[#This Row],[RevenueAttributed]]/MarketingTable[[#This Row],[Spend]])</f>
        <v>7.8273453721764303</v>
      </c>
      <c r="N51" t="s">
        <v>18</v>
      </c>
      <c r="O51" s="6">
        <f ca="1">MAX(0,TODAY()-(MarketingTable[[#This Row],[WeekStartDate]]+6))</f>
        <v>21</v>
      </c>
    </row>
    <row r="52" spans="1:15">
      <c r="A52" s="1">
        <v>46013</v>
      </c>
      <c r="B52" t="s">
        <v>42</v>
      </c>
      <c r="C52" t="s">
        <v>75</v>
      </c>
      <c r="D52" s="2">
        <v>1895.92</v>
      </c>
      <c r="E52" s="5">
        <v>346818</v>
      </c>
      <c r="F52" s="5">
        <v>6631</v>
      </c>
      <c r="G52" s="5">
        <v>324</v>
      </c>
      <c r="H52" s="5">
        <v>100</v>
      </c>
      <c r="I52" s="3">
        <v>14904</v>
      </c>
      <c r="J52" s="2" cm="1">
        <f t="array" ref="J52">MarketingTable[[#This Row],[RevenueAttributed]]*_xlfn.SWITCH(MarketingTable[[#This Row],[DataQualityFlag]],"OK",1,"Missing UTMs",0.7,"Suspect attribution",0.4,1)</f>
        <v>14904</v>
      </c>
      <c r="K52" s="2">
        <f>IF(MarketingTable[[#This Row],[Leads]]=0,"",MarketingTable[[#This Row],[Spend]]/MarketingTable[[#This Row],[Leads]])</f>
        <v>5.8516049382716053</v>
      </c>
      <c r="L52" s="4">
        <f>IF(MarketingTable[[#This Row],[Spend]]=0,"",MarketingTable[[#This Row],[RevenueAttributed]]/MarketingTable[[#This Row],[Spend]])</f>
        <v>7.8610911852820795</v>
      </c>
      <c r="N52" t="s">
        <v>18</v>
      </c>
      <c r="O52" s="6">
        <f ca="1">MAX(0,TODAY()-(MarketingTable[[#This Row],[WeekStartDate]]+6))</f>
        <v>21</v>
      </c>
    </row>
    <row r="53" spans="1:15">
      <c r="A53" s="1">
        <v>46020</v>
      </c>
      <c r="B53" t="s">
        <v>15</v>
      </c>
      <c r="C53" t="s">
        <v>76</v>
      </c>
      <c r="D53" s="2">
        <v>0</v>
      </c>
      <c r="E53" s="5">
        <v>91766</v>
      </c>
      <c r="F53" s="5">
        <v>1106</v>
      </c>
      <c r="G53" s="5">
        <v>20</v>
      </c>
      <c r="H53" s="5">
        <v>9</v>
      </c>
      <c r="I53" s="3">
        <v>1060</v>
      </c>
      <c r="J53" s="2" cm="1">
        <f t="array" ref="J53">MarketingTable[[#This Row],[RevenueAttributed]]*_xlfn.SWITCH(MarketingTable[[#This Row],[DataQualityFlag]],"OK",1,"Missing UTMs",0.7,"Suspect attribution",0.4,1)</f>
        <v>1060</v>
      </c>
      <c r="K53" s="2">
        <f>IF(MarketingTable[[#This Row],[Leads]]=0,"",MarketingTable[[#This Row],[Spend]]/MarketingTable[[#This Row],[Leads]])</f>
        <v>0</v>
      </c>
      <c r="L53" s="4" t="str">
        <f>IF(MarketingTable[[#This Row],[Spend]]=0,"",MarketingTable[[#This Row],[RevenueAttributed]]/MarketingTable[[#This Row],[Spend]])</f>
        <v/>
      </c>
      <c r="M53" t="s">
        <v>77</v>
      </c>
      <c r="N53" t="s">
        <v>18</v>
      </c>
      <c r="O53" s="6">
        <f ca="1">MAX(0,TODAY()-(MarketingTable[[#This Row],[WeekStartDate]]+6))</f>
        <v>14</v>
      </c>
    </row>
    <row r="54" spans="1:15">
      <c r="A54" s="1">
        <v>45663</v>
      </c>
      <c r="B54" t="s">
        <v>42</v>
      </c>
      <c r="C54" t="s">
        <v>78</v>
      </c>
      <c r="D54" s="2">
        <v>1540.83</v>
      </c>
      <c r="E54" s="5">
        <v>246481</v>
      </c>
      <c r="F54" s="5">
        <v>10096</v>
      </c>
      <c r="G54" s="5">
        <v>138</v>
      </c>
      <c r="H54" s="5">
        <v>29</v>
      </c>
      <c r="I54" s="3">
        <v>8025</v>
      </c>
      <c r="J54" s="2" cm="1">
        <f t="array" ref="J54">MarketingTable[[#This Row],[RevenueAttributed]]*_xlfn.SWITCH(MarketingTable[[#This Row],[DataQualityFlag]],"OK",1,"Missing UTMs",0.7,"Suspect attribution",0.4,1)</f>
        <v>8025</v>
      </c>
      <c r="K54" s="2">
        <f>IF(MarketingTable[[#This Row],[Leads]]=0,"",MarketingTable[[#This Row],[Spend]]/MarketingTable[[#This Row],[Leads]])</f>
        <v>11.165434782608695</v>
      </c>
      <c r="L54" s="4">
        <f>IF(MarketingTable[[#This Row],[Spend]]=0,"",MarketingTable[[#This Row],[RevenueAttributed]]/MarketingTable[[#This Row],[Spend]])</f>
        <v>5.2082319269484634</v>
      </c>
      <c r="N54" t="s">
        <v>18</v>
      </c>
      <c r="O54" s="6">
        <f ca="1">MAX(0,TODAY()-(MarketingTable[[#This Row],[WeekStartDate]]+6))</f>
        <v>371</v>
      </c>
    </row>
    <row r="55" spans="1:15">
      <c r="A55" s="1">
        <v>45670</v>
      </c>
      <c r="B55" t="s">
        <v>25</v>
      </c>
      <c r="C55" t="s">
        <v>79</v>
      </c>
      <c r="D55" s="2">
        <v>2083.64</v>
      </c>
      <c r="E55" s="5">
        <v>898797</v>
      </c>
      <c r="F55" s="5">
        <v>33526</v>
      </c>
      <c r="G55" s="5">
        <v>220</v>
      </c>
      <c r="H55" s="5">
        <v>55</v>
      </c>
      <c r="I55" s="3">
        <v>2505</v>
      </c>
      <c r="J55" s="2" cm="1">
        <f t="array" ref="J55">MarketingTable[[#This Row],[RevenueAttributed]]*_xlfn.SWITCH(MarketingTable[[#This Row],[DataQualityFlag]],"OK",1,"Missing UTMs",0.7,"Suspect attribution",0.4,1)</f>
        <v>1753.5</v>
      </c>
      <c r="K55" s="2">
        <f>IF(MarketingTable[[#This Row],[Leads]]=0,"",MarketingTable[[#This Row],[Spend]]/MarketingTable[[#This Row],[Leads]])</f>
        <v>9.4710909090909077</v>
      </c>
      <c r="L55" s="4">
        <f>IF(MarketingTable[[#This Row],[Spend]]=0,"",MarketingTable[[#This Row],[RevenueAttributed]]/MarketingTable[[#This Row],[Spend]])</f>
        <v>1.2022230327695764</v>
      </c>
      <c r="M55" t="s">
        <v>27</v>
      </c>
      <c r="N55" t="s">
        <v>28</v>
      </c>
      <c r="O55" s="6">
        <f ca="1">MAX(0,TODAY()-(MarketingTable[[#This Row],[WeekStartDate]]+6))</f>
        <v>364</v>
      </c>
    </row>
    <row r="56" spans="1:15">
      <c r="A56" s="1">
        <v>45691</v>
      </c>
      <c r="B56" t="s">
        <v>42</v>
      </c>
      <c r="C56" t="s">
        <v>80</v>
      </c>
      <c r="D56" s="2">
        <v>0</v>
      </c>
      <c r="E56" s="5">
        <v>59166</v>
      </c>
      <c r="F56" s="5">
        <v>1092</v>
      </c>
      <c r="G56" s="5">
        <v>23</v>
      </c>
      <c r="H56" s="5">
        <v>7</v>
      </c>
      <c r="I56" s="3">
        <v>11866</v>
      </c>
      <c r="J56" s="2" cm="1">
        <f t="array" ref="J56">MarketingTable[[#This Row],[RevenueAttributed]]*_xlfn.SWITCH(MarketingTable[[#This Row],[DataQualityFlag]],"OK",1,"Missing UTMs",0.7,"Suspect attribution",0.4,1)</f>
        <v>11866</v>
      </c>
      <c r="K56" s="2">
        <f>IF(MarketingTable[[#This Row],[Leads]]=0,"",MarketingTable[[#This Row],[Spend]]/MarketingTable[[#This Row],[Leads]])</f>
        <v>0</v>
      </c>
      <c r="L56" s="4" t="str">
        <f>IF(MarketingTable[[#This Row],[Spend]]=0,"",MarketingTable[[#This Row],[RevenueAttributed]]/MarketingTable[[#This Row],[Spend]])</f>
        <v/>
      </c>
      <c r="M56" t="s">
        <v>77</v>
      </c>
      <c r="N56" t="s">
        <v>18</v>
      </c>
      <c r="O56" s="6">
        <f ca="1">MAX(0,TODAY()-(MarketingTable[[#This Row],[WeekStartDate]]+6))</f>
        <v>343</v>
      </c>
    </row>
    <row r="57" spans="1:15">
      <c r="A57" s="1">
        <v>45684</v>
      </c>
      <c r="B57" t="s">
        <v>25</v>
      </c>
      <c r="C57" t="s">
        <v>81</v>
      </c>
      <c r="D57" s="2">
        <v>736.27</v>
      </c>
      <c r="E57" s="5">
        <v>307268</v>
      </c>
      <c r="F57" s="5">
        <v>8657</v>
      </c>
      <c r="G57" s="5">
        <v>151</v>
      </c>
      <c r="H57" s="5">
        <v>60</v>
      </c>
      <c r="I57" s="3">
        <v>5087</v>
      </c>
      <c r="J57" s="2" cm="1">
        <f t="array" ref="J57">MarketingTable[[#This Row],[RevenueAttributed]]*_xlfn.SWITCH(MarketingTable[[#This Row],[DataQualityFlag]],"OK",1,"Missing UTMs",0.7,"Suspect attribution",0.4,1)</f>
        <v>5087</v>
      </c>
      <c r="K57" s="2">
        <f>IF(MarketingTable[[#This Row],[Leads]]=0,"",MarketingTable[[#This Row],[Spend]]/MarketingTable[[#This Row],[Leads]])</f>
        <v>4.8759602649006624</v>
      </c>
      <c r="L57" s="4">
        <f>IF(MarketingTable[[#This Row],[Spend]]=0,"",MarketingTable[[#This Row],[RevenueAttributed]]/MarketingTable[[#This Row],[Spend]])</f>
        <v>6.9091501758865634</v>
      </c>
      <c r="N57" t="s">
        <v>18</v>
      </c>
      <c r="O57" s="6">
        <f ca="1">MAX(0,TODAY()-(MarketingTable[[#This Row],[WeekStartDate]]+6))</f>
        <v>350</v>
      </c>
    </row>
    <row r="58" spans="1:15">
      <c r="A58" s="1">
        <v>45691</v>
      </c>
      <c r="B58" t="s">
        <v>25</v>
      </c>
      <c r="C58" t="s">
        <v>82</v>
      </c>
      <c r="D58" s="2">
        <v>2126.83</v>
      </c>
      <c r="E58" s="5">
        <v>593335</v>
      </c>
      <c r="F58" s="5">
        <v>10788</v>
      </c>
      <c r="G58" s="5">
        <v>58</v>
      </c>
      <c r="H58" s="5">
        <v>18</v>
      </c>
      <c r="I58" s="3">
        <v>3136</v>
      </c>
      <c r="J58" s="2" cm="1">
        <f t="array" ref="J58">MarketingTable[[#This Row],[RevenueAttributed]]*_xlfn.SWITCH(MarketingTable[[#This Row],[DataQualityFlag]],"OK",1,"Missing UTMs",0.7,"Suspect attribution",0.4,1)</f>
        <v>3136</v>
      </c>
      <c r="K58" s="2">
        <f>IF(MarketingTable[[#This Row],[Leads]]=0,"",MarketingTable[[#This Row],[Spend]]/MarketingTable[[#This Row],[Leads]])</f>
        <v>36.669482758620688</v>
      </c>
      <c r="L58" s="4">
        <f>IF(MarketingTable[[#This Row],[Spend]]=0,"",MarketingTable[[#This Row],[RevenueAttributed]]/MarketingTable[[#This Row],[Spend]])</f>
        <v>1.4744949055636793</v>
      </c>
      <c r="N58" t="s">
        <v>18</v>
      </c>
      <c r="O58" s="6">
        <f ca="1">MAX(0,TODAY()-(MarketingTable[[#This Row],[WeekStartDate]]+6))</f>
        <v>343</v>
      </c>
    </row>
    <row r="59" spans="1:15">
      <c r="A59" s="1">
        <v>45698</v>
      </c>
      <c r="B59" t="s">
        <v>19</v>
      </c>
      <c r="C59" t="s">
        <v>83</v>
      </c>
      <c r="D59" s="2">
        <v>5375.74</v>
      </c>
      <c r="E59" s="5">
        <v>112338</v>
      </c>
      <c r="F59" s="5">
        <v>1436</v>
      </c>
      <c r="G59" s="5">
        <v>0</v>
      </c>
      <c r="H59" s="5">
        <v>0</v>
      </c>
      <c r="I59" s="3">
        <v>5950</v>
      </c>
      <c r="J59" s="2" cm="1">
        <f t="array" ref="J59">MarketingTable[[#This Row],[RevenueAttributed]]*_xlfn.SWITCH(MarketingTable[[#This Row],[DataQualityFlag]],"OK",1,"Missing UTMs",0.7,"Suspect attribution",0.4,1)</f>
        <v>5950</v>
      </c>
      <c r="K59" s="2" t="str">
        <f>IF(MarketingTable[[#This Row],[Leads]]=0,"",MarketingTable[[#This Row],[Spend]]/MarketingTable[[#This Row],[Leads]])</f>
        <v/>
      </c>
      <c r="L59" s="4">
        <f>IF(MarketingTable[[#This Row],[Spend]]=0,"",MarketingTable[[#This Row],[RevenueAttributed]]/MarketingTable[[#This Row],[Spend]])</f>
        <v>1.1068243627854026</v>
      </c>
      <c r="M59" t="s">
        <v>31</v>
      </c>
      <c r="N59" t="s">
        <v>18</v>
      </c>
      <c r="O59" s="6">
        <f ca="1">MAX(0,TODAY()-(MarketingTable[[#This Row],[WeekStartDate]]+6))</f>
        <v>336</v>
      </c>
    </row>
    <row r="60" spans="1:15">
      <c r="A60" s="1">
        <v>45705</v>
      </c>
      <c r="B60" t="s">
        <v>15</v>
      </c>
      <c r="C60" t="s">
        <v>84</v>
      </c>
      <c r="D60" s="2">
        <v>7656.4</v>
      </c>
      <c r="E60" s="5">
        <v>450792</v>
      </c>
      <c r="F60" s="5">
        <v>7117</v>
      </c>
      <c r="G60" s="5">
        <v>156</v>
      </c>
      <c r="H60" s="5">
        <v>44</v>
      </c>
      <c r="I60" s="3">
        <v>49251</v>
      </c>
      <c r="J60" s="2" cm="1">
        <f t="array" ref="J60">MarketingTable[[#This Row],[RevenueAttributed]]*_xlfn.SWITCH(MarketingTable[[#This Row],[DataQualityFlag]],"OK",1,"Missing UTMs",0.7,"Suspect attribution",0.4,1)</f>
        <v>49251</v>
      </c>
      <c r="K60" s="2">
        <f>IF(MarketingTable[[#This Row],[Leads]]=0,"",MarketingTable[[#This Row],[Spend]]/MarketingTable[[#This Row],[Leads]])</f>
        <v>49.079487179487174</v>
      </c>
      <c r="L60" s="4">
        <f>IF(MarketingTable[[#This Row],[Spend]]=0,"",MarketingTable[[#This Row],[RevenueAttributed]]/MarketingTable[[#This Row],[Spend]])</f>
        <v>6.4326576458910196</v>
      </c>
      <c r="N60" t="s">
        <v>18</v>
      </c>
      <c r="O60" s="6">
        <f ca="1">MAX(0,TODAY()-(MarketingTable[[#This Row],[WeekStartDate]]+6))</f>
        <v>329</v>
      </c>
    </row>
    <row r="61" spans="1:15">
      <c r="A61" s="1">
        <v>45712</v>
      </c>
      <c r="B61" t="s">
        <v>42</v>
      </c>
      <c r="C61" t="s">
        <v>69</v>
      </c>
      <c r="D61" s="2">
        <v>1094.01</v>
      </c>
      <c r="E61" s="5">
        <v>467162</v>
      </c>
      <c r="F61" s="5">
        <v>8508</v>
      </c>
      <c r="G61" s="5">
        <v>332</v>
      </c>
      <c r="H61" s="5">
        <v>141</v>
      </c>
      <c r="I61" s="3">
        <v>6380</v>
      </c>
      <c r="J61" s="2" cm="1">
        <f t="array" ref="J61">MarketingTable[[#This Row],[RevenueAttributed]]*_xlfn.SWITCH(MarketingTable[[#This Row],[DataQualityFlag]],"OK",1,"Missing UTMs",0.7,"Suspect attribution",0.4,1)</f>
        <v>6380</v>
      </c>
      <c r="K61" s="2">
        <f>IF(MarketingTable[[#This Row],[Leads]]=0,"",MarketingTable[[#This Row],[Spend]]/MarketingTable[[#This Row],[Leads]])</f>
        <v>3.2952108433734941</v>
      </c>
      <c r="L61" s="4">
        <f>IF(MarketingTable[[#This Row],[Spend]]=0,"",MarketingTable[[#This Row],[RevenueAttributed]]/MarketingTable[[#This Row],[Spend]])</f>
        <v>5.8317565652964785</v>
      </c>
      <c r="N61" t="s">
        <v>18</v>
      </c>
      <c r="O61" s="6">
        <f ca="1">MAX(0,TODAY()-(MarketingTable[[#This Row],[WeekStartDate]]+6))</f>
        <v>322</v>
      </c>
    </row>
    <row r="62" spans="1:15">
      <c r="A62" s="1">
        <v>45719</v>
      </c>
      <c r="B62" t="s">
        <v>19</v>
      </c>
      <c r="C62" t="s">
        <v>85</v>
      </c>
      <c r="D62" s="2">
        <v>14680.05</v>
      </c>
      <c r="E62" s="5">
        <v>282731</v>
      </c>
      <c r="F62" s="5">
        <v>1944</v>
      </c>
      <c r="G62" s="5">
        <v>41</v>
      </c>
      <c r="H62" s="5">
        <v>17</v>
      </c>
      <c r="I62" s="3">
        <v>41948</v>
      </c>
      <c r="J62" s="2" cm="1">
        <f t="array" ref="J62">MarketingTable[[#This Row],[RevenueAttributed]]*_xlfn.SWITCH(MarketingTable[[#This Row],[DataQualityFlag]],"OK",1,"Missing UTMs",0.7,"Suspect attribution",0.4,1)</f>
        <v>41948</v>
      </c>
      <c r="K62" s="2">
        <f>IF(MarketingTable[[#This Row],[Leads]]=0,"",MarketingTable[[#This Row],[Spend]]/MarketingTable[[#This Row],[Leads]])</f>
        <v>358.04999999999995</v>
      </c>
      <c r="L62" s="4">
        <f>IF(MarketingTable[[#This Row],[Spend]]=0,"",MarketingTable[[#This Row],[RevenueAttributed]]/MarketingTable[[#This Row],[Spend]])</f>
        <v>2.8574834554378223</v>
      </c>
      <c r="N62" t="s">
        <v>18</v>
      </c>
      <c r="O62" s="6">
        <f ca="1">MAX(0,TODAY()-(MarketingTable[[#This Row],[WeekStartDate]]+6))</f>
        <v>315</v>
      </c>
    </row>
    <row r="63" spans="1:15">
      <c r="A63" s="1">
        <v>45726</v>
      </c>
      <c r="B63" t="s">
        <v>15</v>
      </c>
      <c r="C63" t="s">
        <v>86</v>
      </c>
      <c r="D63" s="2">
        <v>4723.91</v>
      </c>
      <c r="E63" s="5">
        <v>221213</v>
      </c>
      <c r="F63" s="5">
        <v>3732</v>
      </c>
      <c r="G63" s="5">
        <v>55</v>
      </c>
      <c r="H63" s="5">
        <v>20</v>
      </c>
      <c r="I63" s="3">
        <v>6929</v>
      </c>
      <c r="J63" s="2" cm="1">
        <f t="array" ref="J63">MarketingTable[[#This Row],[RevenueAttributed]]*_xlfn.SWITCH(MarketingTable[[#This Row],[DataQualityFlag]],"OK",1,"Missing UTMs",0.7,"Suspect attribution",0.4,1)</f>
        <v>6929</v>
      </c>
      <c r="K63" s="2">
        <f>IF(MarketingTable[[#This Row],[Leads]]=0,"",MarketingTable[[#This Row],[Spend]]/MarketingTable[[#This Row],[Leads]])</f>
        <v>85.889272727272726</v>
      </c>
      <c r="L63" s="4">
        <f>IF(MarketingTable[[#This Row],[Spend]]=0,"",MarketingTable[[#This Row],[RevenueAttributed]]/MarketingTable[[#This Row],[Spend]])</f>
        <v>1.466793397842042</v>
      </c>
      <c r="N63" t="s">
        <v>18</v>
      </c>
      <c r="O63" s="6">
        <f ca="1">MAX(0,TODAY()-(MarketingTable[[#This Row],[WeekStartDate]]+6))</f>
        <v>308</v>
      </c>
    </row>
    <row r="64" spans="1:15">
      <c r="A64" s="1">
        <v>45733</v>
      </c>
      <c r="B64" t="s">
        <v>23</v>
      </c>
      <c r="C64" t="s">
        <v>41</v>
      </c>
      <c r="D64" s="2">
        <v>15654.89</v>
      </c>
      <c r="E64" s="5">
        <v>1430229</v>
      </c>
      <c r="F64" s="5">
        <v>47376</v>
      </c>
      <c r="G64" s="5">
        <v>1306</v>
      </c>
      <c r="H64" s="5">
        <v>477</v>
      </c>
      <c r="I64" s="3">
        <v>31501</v>
      </c>
      <c r="J64" s="2" cm="1">
        <f t="array" ref="J64">MarketingTable[[#This Row],[RevenueAttributed]]*_xlfn.SWITCH(MarketingTable[[#This Row],[DataQualityFlag]],"OK",1,"Missing UTMs",0.7,"Suspect attribution",0.4,1)</f>
        <v>31501</v>
      </c>
      <c r="K64" s="2">
        <f>IF(MarketingTable[[#This Row],[Leads]]=0,"",MarketingTable[[#This Row],[Spend]]/MarketingTable[[#This Row],[Leads]])</f>
        <v>11.986898928024502</v>
      </c>
      <c r="L64" s="4">
        <f>IF(MarketingTable[[#This Row],[Spend]]=0,"",MarketingTable[[#This Row],[RevenueAttributed]]/MarketingTable[[#This Row],[Spend]])</f>
        <v>2.0122147137412019</v>
      </c>
      <c r="N64" t="s">
        <v>18</v>
      </c>
      <c r="O64" s="6">
        <f ca="1">MAX(0,TODAY()-(MarketingTable[[#This Row],[WeekStartDate]]+6))</f>
        <v>301</v>
      </c>
    </row>
    <row r="65" spans="1:15">
      <c r="A65" s="1">
        <v>45740</v>
      </c>
      <c r="B65" t="s">
        <v>19</v>
      </c>
      <c r="C65" t="s">
        <v>87</v>
      </c>
      <c r="D65" s="2">
        <v>9890.64</v>
      </c>
      <c r="E65" s="5">
        <v>235705</v>
      </c>
      <c r="F65" s="5">
        <v>3085</v>
      </c>
      <c r="G65" s="5">
        <v>42</v>
      </c>
      <c r="H65" s="5">
        <v>15</v>
      </c>
      <c r="I65" s="3">
        <v>32765</v>
      </c>
      <c r="J65" s="2" cm="1">
        <f t="array" ref="J65">MarketingTable[[#This Row],[RevenueAttributed]]*_xlfn.SWITCH(MarketingTable[[#This Row],[DataQualityFlag]],"OK",1,"Missing UTMs",0.7,"Suspect attribution",0.4,1)</f>
        <v>32765</v>
      </c>
      <c r="K65" s="2">
        <f>IF(MarketingTable[[#This Row],[Leads]]=0,"",MarketingTable[[#This Row],[Spend]]/MarketingTable[[#This Row],[Leads]])</f>
        <v>235.49142857142857</v>
      </c>
      <c r="L65" s="4">
        <f>IF(MarketingTable[[#This Row],[Spend]]=0,"",MarketingTable[[#This Row],[RevenueAttributed]]/MarketingTable[[#This Row],[Spend]])</f>
        <v>3.312727993335113</v>
      </c>
      <c r="N65" t="s">
        <v>18</v>
      </c>
      <c r="O65" s="6">
        <f ca="1">MAX(0,TODAY()-(MarketingTable[[#This Row],[WeekStartDate]]+6))</f>
        <v>294</v>
      </c>
    </row>
    <row r="66" spans="1:15">
      <c r="A66" s="1">
        <v>45761</v>
      </c>
      <c r="B66" t="s">
        <v>19</v>
      </c>
      <c r="C66" t="s">
        <v>88</v>
      </c>
      <c r="D66" s="2">
        <v>15374.28</v>
      </c>
      <c r="E66" s="5">
        <v>337875</v>
      </c>
      <c r="F66" s="5">
        <v>1515</v>
      </c>
      <c r="G66" s="5">
        <v>35</v>
      </c>
      <c r="H66" s="5">
        <v>8</v>
      </c>
      <c r="I66" s="3">
        <v>23057</v>
      </c>
      <c r="J66" s="2" cm="1">
        <f t="array" ref="J66">MarketingTable[[#This Row],[RevenueAttributed]]*_xlfn.SWITCH(MarketingTable[[#This Row],[DataQualityFlag]],"OK",1,"Missing UTMs",0.7,"Suspect attribution",0.4,1)</f>
        <v>23057</v>
      </c>
      <c r="K66" s="2">
        <f>IF(MarketingTable[[#This Row],[Leads]]=0,"",MarketingTable[[#This Row],[Spend]]/MarketingTable[[#This Row],[Leads]])</f>
        <v>439.26514285714285</v>
      </c>
      <c r="L66" s="4">
        <f>IF(MarketingTable[[#This Row],[Spend]]=0,"",MarketingTable[[#This Row],[RevenueAttributed]]/MarketingTable[[#This Row],[Spend]])</f>
        <v>1.49971250686211</v>
      </c>
      <c r="N66" t="s">
        <v>18</v>
      </c>
      <c r="O66" s="6">
        <f ca="1">MAX(0,TODAY()-(MarketingTable[[#This Row],[WeekStartDate]]+6))</f>
        <v>273</v>
      </c>
    </row>
    <row r="67" spans="1:15">
      <c r="A67" s="1">
        <v>45754</v>
      </c>
      <c r="B67" t="s">
        <v>25</v>
      </c>
      <c r="C67" t="s">
        <v>50</v>
      </c>
      <c r="D67" s="2">
        <v>2141.6999999999998</v>
      </c>
      <c r="E67" s="5">
        <v>952363</v>
      </c>
      <c r="F67" s="5">
        <v>17973</v>
      </c>
      <c r="G67" s="5">
        <v>0</v>
      </c>
      <c r="H67" s="5">
        <v>0</v>
      </c>
      <c r="I67" s="3">
        <v>9087</v>
      </c>
      <c r="J67" s="2" cm="1">
        <f t="array" ref="J67">MarketingTable[[#This Row],[RevenueAttributed]]*_xlfn.SWITCH(MarketingTable[[#This Row],[DataQualityFlag]],"OK",1,"Missing UTMs",0.7,"Suspect attribution",0.4,1)</f>
        <v>9087</v>
      </c>
      <c r="K67" s="2" t="str">
        <f>IF(MarketingTable[[#This Row],[Leads]]=0,"",MarketingTable[[#This Row],[Spend]]/MarketingTable[[#This Row],[Leads]])</f>
        <v/>
      </c>
      <c r="L67" s="4">
        <f>IF(MarketingTable[[#This Row],[Spend]]=0,"",MarketingTable[[#This Row],[RevenueAttributed]]/MarketingTable[[#This Row],[Spend]])</f>
        <v>4.242891161227063</v>
      </c>
      <c r="M67" t="s">
        <v>31</v>
      </c>
      <c r="N67" t="s">
        <v>18</v>
      </c>
      <c r="O67" s="6">
        <f ca="1">MAX(0,TODAY()-(MarketingTable[[#This Row],[WeekStartDate]]+6))</f>
        <v>280</v>
      </c>
    </row>
    <row r="68" spans="1:15">
      <c r="A68" s="1">
        <v>45761</v>
      </c>
      <c r="B68" t="s">
        <v>15</v>
      </c>
      <c r="C68" t="s">
        <v>89</v>
      </c>
      <c r="D68" s="2">
        <v>897.39</v>
      </c>
      <c r="E68" s="5">
        <v>49011</v>
      </c>
      <c r="F68" s="5">
        <v>482</v>
      </c>
      <c r="G68" s="5">
        <v>10</v>
      </c>
      <c r="H68" s="5">
        <v>3</v>
      </c>
      <c r="I68" s="3">
        <v>1239</v>
      </c>
      <c r="J68" s="2" cm="1">
        <f t="array" ref="J68">MarketingTable[[#This Row],[RevenueAttributed]]*_xlfn.SWITCH(MarketingTable[[#This Row],[DataQualityFlag]],"OK",1,"Missing UTMs",0.7,"Suspect attribution",0.4,1)</f>
        <v>867.3</v>
      </c>
      <c r="K68" s="2">
        <f>IF(MarketingTable[[#This Row],[Leads]]=0,"",MarketingTable[[#This Row],[Spend]]/MarketingTable[[#This Row],[Leads]])</f>
        <v>89.739000000000004</v>
      </c>
      <c r="L68" s="4">
        <f>IF(MarketingTable[[#This Row],[Spend]]=0,"",MarketingTable[[#This Row],[RevenueAttributed]]/MarketingTable[[#This Row],[Spend]])</f>
        <v>1.3806706114398422</v>
      </c>
      <c r="M68" t="s">
        <v>27</v>
      </c>
      <c r="N68" t="s">
        <v>28</v>
      </c>
      <c r="O68" s="6">
        <f ca="1">MAX(0,TODAY()-(MarketingTable[[#This Row],[WeekStartDate]]+6))</f>
        <v>273</v>
      </c>
    </row>
    <row r="69" spans="1:15">
      <c r="A69" s="1">
        <v>45768</v>
      </c>
      <c r="B69" t="s">
        <v>19</v>
      </c>
      <c r="C69" t="s">
        <v>90</v>
      </c>
      <c r="D69" s="2">
        <v>12396.76</v>
      </c>
      <c r="E69" s="5">
        <v>262174</v>
      </c>
      <c r="F69" s="5">
        <v>1064</v>
      </c>
      <c r="G69" s="5">
        <v>28</v>
      </c>
      <c r="H69" s="5">
        <v>5</v>
      </c>
      <c r="I69" s="3">
        <v>43916</v>
      </c>
      <c r="J69" s="2" cm="1">
        <f t="array" ref="J69">MarketingTable[[#This Row],[RevenueAttributed]]*_xlfn.SWITCH(MarketingTable[[#This Row],[DataQualityFlag]],"OK",1,"Missing UTMs",0.7,"Suspect attribution",0.4,1)</f>
        <v>43916</v>
      </c>
      <c r="K69" s="2">
        <f>IF(MarketingTable[[#This Row],[Leads]]=0,"",MarketingTable[[#This Row],[Spend]]/MarketingTable[[#This Row],[Leads]])</f>
        <v>442.74142857142857</v>
      </c>
      <c r="L69" s="4">
        <f>IF(MarketingTable[[#This Row],[Spend]]=0,"",MarketingTable[[#This Row],[RevenueAttributed]]/MarketingTable[[#This Row],[Spend]])</f>
        <v>3.542538534262178</v>
      </c>
      <c r="N69" t="s">
        <v>18</v>
      </c>
      <c r="O69" s="6">
        <f ca="1">MAX(0,TODAY()-(MarketingTable[[#This Row],[WeekStartDate]]+6))</f>
        <v>266</v>
      </c>
    </row>
    <row r="70" spans="1:15">
      <c r="A70" s="1">
        <v>45775</v>
      </c>
      <c r="B70" t="s">
        <v>29</v>
      </c>
      <c r="C70" t="s">
        <v>91</v>
      </c>
      <c r="D70" s="2">
        <v>13251.66</v>
      </c>
      <c r="E70" s="5">
        <v>937139</v>
      </c>
      <c r="F70" s="5">
        <v>10782</v>
      </c>
      <c r="G70" s="5">
        <v>209</v>
      </c>
      <c r="H70" s="5">
        <v>47</v>
      </c>
      <c r="I70" s="3">
        <v>57667</v>
      </c>
      <c r="J70" s="2" cm="1">
        <f t="array" ref="J70">MarketingTable[[#This Row],[RevenueAttributed]]*_xlfn.SWITCH(MarketingTable[[#This Row],[DataQualityFlag]],"OK",1,"Missing UTMs",0.7,"Suspect attribution",0.4,1)</f>
        <v>57667</v>
      </c>
      <c r="K70" s="2">
        <f>IF(MarketingTable[[#This Row],[Leads]]=0,"",MarketingTable[[#This Row],[Spend]]/MarketingTable[[#This Row],[Leads]])</f>
        <v>63.405071770334928</v>
      </c>
      <c r="L70" s="4">
        <f>IF(MarketingTable[[#This Row],[Spend]]=0,"",MarketingTable[[#This Row],[RevenueAttributed]]/MarketingTable[[#This Row],[Spend]])</f>
        <v>4.3516812233335296</v>
      </c>
      <c r="N70" t="s">
        <v>18</v>
      </c>
      <c r="O70" s="6">
        <f ca="1">MAX(0,TODAY()-(MarketingTable[[#This Row],[WeekStartDate]]+6))</f>
        <v>259</v>
      </c>
    </row>
    <row r="71" spans="1:15">
      <c r="A71" s="1">
        <v>45789</v>
      </c>
      <c r="B71" t="s">
        <v>19</v>
      </c>
      <c r="C71" t="s">
        <v>92</v>
      </c>
      <c r="D71" s="2">
        <v>4696.0200000000004</v>
      </c>
      <c r="E71" s="5">
        <v>155610</v>
      </c>
      <c r="F71" s="5">
        <v>1988</v>
      </c>
      <c r="G71" s="5">
        <v>19</v>
      </c>
      <c r="H71" s="5">
        <v>5</v>
      </c>
      <c r="I71" s="3">
        <v>8008</v>
      </c>
      <c r="J71" s="2" cm="1">
        <f t="array" ref="J71">MarketingTable[[#This Row],[RevenueAttributed]]*_xlfn.SWITCH(MarketingTable[[#This Row],[DataQualityFlag]],"OK",1,"Missing UTMs",0.7,"Suspect attribution",0.4,1)</f>
        <v>8008</v>
      </c>
      <c r="K71" s="2">
        <f>IF(MarketingTable[[#This Row],[Leads]]=0,"",MarketingTable[[#This Row],[Spend]]/MarketingTable[[#This Row],[Leads]])</f>
        <v>247.15894736842108</v>
      </c>
      <c r="L71" s="4">
        <f>IF(MarketingTable[[#This Row],[Spend]]=0,"",MarketingTable[[#This Row],[RevenueAttributed]]/MarketingTable[[#This Row],[Spend]])</f>
        <v>1.7052738276242434</v>
      </c>
      <c r="N71" t="s">
        <v>18</v>
      </c>
      <c r="O71" s="6">
        <f ca="1">MAX(0,TODAY()-(MarketingTable[[#This Row],[WeekStartDate]]+6))</f>
        <v>245</v>
      </c>
    </row>
    <row r="72" spans="1:15">
      <c r="A72" s="1">
        <v>45789</v>
      </c>
      <c r="B72" t="s">
        <v>19</v>
      </c>
      <c r="C72" t="s">
        <v>89</v>
      </c>
      <c r="D72" s="2">
        <v>9028.48</v>
      </c>
      <c r="E72" s="5">
        <v>261217</v>
      </c>
      <c r="F72" s="5">
        <v>4706</v>
      </c>
      <c r="G72" s="5">
        <v>45</v>
      </c>
      <c r="H72" s="5">
        <v>19</v>
      </c>
      <c r="I72" s="3">
        <v>77193</v>
      </c>
      <c r="J72" s="2" cm="1">
        <f t="array" ref="J72">MarketingTable[[#This Row],[RevenueAttributed]]*_xlfn.SWITCH(MarketingTable[[#This Row],[DataQualityFlag]],"OK",1,"Missing UTMs",0.7,"Suspect attribution",0.4,1)</f>
        <v>77193</v>
      </c>
      <c r="K72" s="2">
        <f>IF(MarketingTable[[#This Row],[Leads]]=0,"",MarketingTable[[#This Row],[Spend]]/MarketingTable[[#This Row],[Leads]])</f>
        <v>200.63288888888889</v>
      </c>
      <c r="L72" s="4">
        <f>IF(MarketingTable[[#This Row],[Spend]]=0,"",MarketingTable[[#This Row],[RevenueAttributed]]/MarketingTable[[#This Row],[Spend]])</f>
        <v>8.5499441766498911</v>
      </c>
      <c r="N72" t="s">
        <v>18</v>
      </c>
      <c r="O72" s="6">
        <f ca="1">MAX(0,TODAY()-(MarketingTable[[#This Row],[WeekStartDate]]+6))</f>
        <v>245</v>
      </c>
    </row>
    <row r="73" spans="1:15">
      <c r="A73" s="1">
        <v>45796</v>
      </c>
      <c r="B73" t="s">
        <v>23</v>
      </c>
      <c r="C73" t="s">
        <v>93</v>
      </c>
      <c r="D73" s="2">
        <v>7670.25</v>
      </c>
      <c r="E73" s="5">
        <v>422980</v>
      </c>
      <c r="F73" s="5">
        <v>12662</v>
      </c>
      <c r="G73" s="5">
        <v>328</v>
      </c>
      <c r="H73" s="5">
        <v>90</v>
      </c>
      <c r="I73" s="3">
        <v>28272</v>
      </c>
      <c r="J73" s="2" cm="1">
        <f t="array" ref="J73">MarketingTable[[#This Row],[RevenueAttributed]]*_xlfn.SWITCH(MarketingTable[[#This Row],[DataQualityFlag]],"OK",1,"Missing UTMs",0.7,"Suspect attribution",0.4,1)</f>
        <v>28272</v>
      </c>
      <c r="K73" s="2">
        <f>IF(MarketingTable[[#This Row],[Leads]]=0,"",MarketingTable[[#This Row],[Spend]]/MarketingTable[[#This Row],[Leads]])</f>
        <v>23.384908536585368</v>
      </c>
      <c r="L73" s="4">
        <f>IF(MarketingTable[[#This Row],[Spend]]=0,"",MarketingTable[[#This Row],[RevenueAttributed]]/MarketingTable[[#This Row],[Spend]])</f>
        <v>3.6859294025618463</v>
      </c>
      <c r="N73" t="s">
        <v>18</v>
      </c>
      <c r="O73" s="6">
        <f ca="1">MAX(0,TODAY()-(MarketingTable[[#This Row],[WeekStartDate]]+6))</f>
        <v>238</v>
      </c>
    </row>
    <row r="74" spans="1:15">
      <c r="A74" s="1">
        <v>45803</v>
      </c>
      <c r="B74" t="s">
        <v>25</v>
      </c>
      <c r="C74" t="s">
        <v>94</v>
      </c>
      <c r="D74" s="2">
        <v>2202.9699999999998</v>
      </c>
      <c r="E74" s="5">
        <v>1153213</v>
      </c>
      <c r="F74" s="5">
        <v>37963</v>
      </c>
      <c r="G74" s="5">
        <v>0</v>
      </c>
      <c r="H74" s="5">
        <v>0</v>
      </c>
      <c r="I74" s="3">
        <v>13391</v>
      </c>
      <c r="J74" s="2" cm="1">
        <f t="array" ref="J74">MarketingTable[[#This Row],[RevenueAttributed]]*_xlfn.SWITCH(MarketingTable[[#This Row],[DataQualityFlag]],"OK",1,"Missing UTMs",0.7,"Suspect attribution",0.4,1)</f>
        <v>13391</v>
      </c>
      <c r="K74" s="2" t="str">
        <f>IF(MarketingTable[[#This Row],[Leads]]=0,"",MarketingTable[[#This Row],[Spend]]/MarketingTable[[#This Row],[Leads]])</f>
        <v/>
      </c>
      <c r="L74" s="4">
        <f>IF(MarketingTable[[#This Row],[Spend]]=0,"",MarketingTable[[#This Row],[RevenueAttributed]]/MarketingTable[[#This Row],[Spend]])</f>
        <v>6.0786120555431991</v>
      </c>
      <c r="M74" t="s">
        <v>31</v>
      </c>
      <c r="N74" t="s">
        <v>18</v>
      </c>
      <c r="O74" s="6">
        <f ca="1">MAX(0,TODAY()-(MarketingTable[[#This Row],[WeekStartDate]]+6))</f>
        <v>231</v>
      </c>
    </row>
    <row r="75" spans="1:15">
      <c r="A75" s="1">
        <v>45810</v>
      </c>
      <c r="B75" t="s">
        <v>23</v>
      </c>
      <c r="C75" t="s">
        <v>95</v>
      </c>
      <c r="D75" s="2">
        <v>6279.35</v>
      </c>
      <c r="E75" s="5">
        <v>589438</v>
      </c>
      <c r="F75" s="5">
        <v>28385</v>
      </c>
      <c r="G75" s="5">
        <v>544</v>
      </c>
      <c r="H75" s="5">
        <v>116</v>
      </c>
      <c r="I75" s="3">
        <v>57742</v>
      </c>
      <c r="J75" s="2" cm="1">
        <f t="array" ref="J75">MarketingTable[[#This Row],[RevenueAttributed]]*_xlfn.SWITCH(MarketingTable[[#This Row],[DataQualityFlag]],"OK",1,"Missing UTMs",0.7,"Suspect attribution",0.4,1)</f>
        <v>57742</v>
      </c>
      <c r="K75" s="2">
        <f>IF(MarketingTable[[#This Row],[Leads]]=0,"",MarketingTable[[#This Row],[Spend]]/MarketingTable[[#This Row],[Leads]])</f>
        <v>11.542922794117647</v>
      </c>
      <c r="L75" s="4">
        <f>IF(MarketingTable[[#This Row],[Spend]]=0,"",MarketingTable[[#This Row],[RevenueAttributed]]/MarketingTable[[#This Row],[Spend]])</f>
        <v>9.1955377547039099</v>
      </c>
      <c r="N75" t="s">
        <v>18</v>
      </c>
      <c r="O75" s="6">
        <f ca="1">MAX(0,TODAY()-(MarketingTable[[#This Row],[WeekStartDate]]+6))</f>
        <v>224</v>
      </c>
    </row>
    <row r="76" spans="1:15">
      <c r="A76" s="1">
        <v>45824</v>
      </c>
      <c r="B76" t="s">
        <v>19</v>
      </c>
      <c r="C76" t="s">
        <v>96</v>
      </c>
      <c r="D76" s="2">
        <v>9615.15</v>
      </c>
      <c r="E76" s="5">
        <v>336470</v>
      </c>
      <c r="F76" s="5">
        <v>4405</v>
      </c>
      <c r="G76" s="5">
        <v>101</v>
      </c>
      <c r="H76" s="5">
        <v>27</v>
      </c>
      <c r="I76" s="3">
        <v>8629</v>
      </c>
      <c r="J76" s="2" cm="1">
        <f t="array" ref="J76">MarketingTable[[#This Row],[RevenueAttributed]]*_xlfn.SWITCH(MarketingTable[[#This Row],[DataQualityFlag]],"OK",1,"Missing UTMs",0.7,"Suspect attribution",0.4,1)</f>
        <v>6040.2999999999993</v>
      </c>
      <c r="K76" s="2">
        <f>IF(MarketingTable[[#This Row],[Leads]]=0,"",MarketingTable[[#This Row],[Spend]]/MarketingTable[[#This Row],[Leads]])</f>
        <v>95.19950495049504</v>
      </c>
      <c r="L76" s="4">
        <f>IF(MarketingTable[[#This Row],[Spend]]=0,"",MarketingTable[[#This Row],[RevenueAttributed]]/MarketingTable[[#This Row],[Spend]])</f>
        <v>0.89743789748469871</v>
      </c>
      <c r="M76" t="s">
        <v>27</v>
      </c>
      <c r="N76" t="s">
        <v>28</v>
      </c>
      <c r="O76" s="6">
        <f ca="1">MAX(0,TODAY()-(MarketingTable[[#This Row],[WeekStartDate]]+6))</f>
        <v>210</v>
      </c>
    </row>
    <row r="77" spans="1:15">
      <c r="A77" s="1">
        <v>45824</v>
      </c>
      <c r="B77" t="s">
        <v>23</v>
      </c>
      <c r="C77" t="s">
        <v>97</v>
      </c>
      <c r="D77" s="2">
        <v>15598.89</v>
      </c>
      <c r="E77" s="5">
        <v>1705255</v>
      </c>
      <c r="F77" s="5">
        <v>54811</v>
      </c>
      <c r="G77" s="5">
        <v>1</v>
      </c>
      <c r="H77" s="5">
        <v>0</v>
      </c>
      <c r="I77" s="3">
        <v>70240</v>
      </c>
      <c r="J77" s="2" cm="1">
        <f t="array" ref="J77">MarketingTable[[#This Row],[RevenueAttributed]]*_xlfn.SWITCH(MarketingTable[[#This Row],[DataQualityFlag]],"OK",1,"Missing UTMs",0.7,"Suspect attribution",0.4,1)</f>
        <v>70240</v>
      </c>
      <c r="K77" s="2">
        <f>IF(MarketingTable[[#This Row],[Leads]]=0,"",MarketingTable[[#This Row],[Spend]]/MarketingTable[[#This Row],[Leads]])</f>
        <v>15598.89</v>
      </c>
      <c r="L77" s="4">
        <f>IF(MarketingTable[[#This Row],[Spend]]=0,"",MarketingTable[[#This Row],[RevenueAttributed]]/MarketingTable[[#This Row],[Spend]])</f>
        <v>4.5028845001150728</v>
      </c>
      <c r="M77" t="s">
        <v>17</v>
      </c>
      <c r="N77" t="s">
        <v>18</v>
      </c>
      <c r="O77" s="6">
        <f ca="1">MAX(0,TODAY()-(MarketingTable[[#This Row],[WeekStartDate]]+6))</f>
        <v>210</v>
      </c>
    </row>
    <row r="78" spans="1:15">
      <c r="A78" s="1">
        <v>45831</v>
      </c>
      <c r="B78" t="s">
        <v>42</v>
      </c>
      <c r="C78" t="s">
        <v>98</v>
      </c>
      <c r="D78" s="2">
        <v>1489.87</v>
      </c>
      <c r="E78" s="5">
        <v>392166</v>
      </c>
      <c r="F78" s="5">
        <v>12625</v>
      </c>
      <c r="G78" s="5">
        <v>448</v>
      </c>
      <c r="H78" s="5">
        <v>85</v>
      </c>
      <c r="I78" s="3">
        <v>2713</v>
      </c>
      <c r="J78" s="2" cm="1">
        <f t="array" ref="J78">MarketingTable[[#This Row],[RevenueAttributed]]*_xlfn.SWITCH(MarketingTable[[#This Row],[DataQualityFlag]],"OK",1,"Missing UTMs",0.7,"Suspect attribution",0.4,1)</f>
        <v>2713</v>
      </c>
      <c r="K78" s="2">
        <f>IF(MarketingTable[[#This Row],[Leads]]=0,"",MarketingTable[[#This Row],[Spend]]/MarketingTable[[#This Row],[Leads]])</f>
        <v>3.3256026785714283</v>
      </c>
      <c r="L78" s="4">
        <f>IF(MarketingTable[[#This Row],[Spend]]=0,"",MarketingTable[[#This Row],[RevenueAttributed]]/MarketingTable[[#This Row],[Spend]])</f>
        <v>1.8209642452026018</v>
      </c>
      <c r="N78" t="s">
        <v>18</v>
      </c>
      <c r="O78" s="6">
        <f ca="1">MAX(0,TODAY()-(MarketingTable[[#This Row],[WeekStartDate]]+6))</f>
        <v>203</v>
      </c>
    </row>
    <row r="79" spans="1:15">
      <c r="A79" s="1">
        <v>45838</v>
      </c>
      <c r="B79" t="s">
        <v>23</v>
      </c>
      <c r="C79" t="s">
        <v>99</v>
      </c>
      <c r="D79" s="2">
        <v>7969.3</v>
      </c>
      <c r="E79" s="5">
        <v>551386</v>
      </c>
      <c r="F79" s="5">
        <v>27704</v>
      </c>
      <c r="G79" s="5">
        <v>1</v>
      </c>
      <c r="H79" s="5">
        <v>0</v>
      </c>
      <c r="I79" s="3">
        <v>11581</v>
      </c>
      <c r="J79" s="2" cm="1">
        <f t="array" ref="J79">MarketingTable[[#This Row],[RevenueAttributed]]*_xlfn.SWITCH(MarketingTable[[#This Row],[DataQualityFlag]],"OK",1,"Missing UTMs",0.7,"Suspect attribution",0.4,1)</f>
        <v>11581</v>
      </c>
      <c r="K79" s="2">
        <f>IF(MarketingTable[[#This Row],[Leads]]=0,"",MarketingTable[[#This Row],[Spend]]/MarketingTable[[#This Row],[Leads]])</f>
        <v>7969.3</v>
      </c>
      <c r="L79" s="4">
        <f>IF(MarketingTable[[#This Row],[Spend]]=0,"",MarketingTable[[#This Row],[RevenueAttributed]]/MarketingTable[[#This Row],[Spend]])</f>
        <v>1.4532016613755285</v>
      </c>
      <c r="M79" t="s">
        <v>17</v>
      </c>
      <c r="N79" t="s">
        <v>18</v>
      </c>
      <c r="O79" s="6">
        <f ca="1">MAX(0,TODAY()-(MarketingTable[[#This Row],[WeekStartDate]]+6))</f>
        <v>196</v>
      </c>
    </row>
    <row r="80" spans="1:15">
      <c r="A80" s="1">
        <v>45845</v>
      </c>
      <c r="B80" t="s">
        <v>29</v>
      </c>
      <c r="C80" t="s">
        <v>100</v>
      </c>
      <c r="D80" s="2">
        <v>2545.44</v>
      </c>
      <c r="E80" s="5">
        <v>298582</v>
      </c>
      <c r="F80" s="5">
        <v>6252</v>
      </c>
      <c r="G80" s="5">
        <v>2</v>
      </c>
      <c r="H80" s="5">
        <v>0</v>
      </c>
      <c r="I80" s="3">
        <v>4087</v>
      </c>
      <c r="J80" s="2" cm="1">
        <f t="array" ref="J80">MarketingTable[[#This Row],[RevenueAttributed]]*_xlfn.SWITCH(MarketingTable[[#This Row],[DataQualityFlag]],"OK",1,"Missing UTMs",0.7,"Suspect attribution",0.4,1)</f>
        <v>4087</v>
      </c>
      <c r="K80" s="2">
        <f>IF(MarketingTable[[#This Row],[Leads]]=0,"",MarketingTable[[#This Row],[Spend]]/MarketingTable[[#This Row],[Leads]])</f>
        <v>1272.72</v>
      </c>
      <c r="L80" s="4">
        <f>IF(MarketingTable[[#This Row],[Spend]]=0,"",MarketingTable[[#This Row],[RevenueAttributed]]/MarketingTable[[#This Row],[Spend]])</f>
        <v>1.6056163178075302</v>
      </c>
      <c r="M80" t="s">
        <v>17</v>
      </c>
      <c r="N80" t="s">
        <v>18</v>
      </c>
      <c r="O80" s="6">
        <f ca="1">MAX(0,TODAY()-(MarketingTable[[#This Row],[WeekStartDate]]+6))</f>
        <v>189</v>
      </c>
    </row>
    <row r="81" spans="1:15">
      <c r="A81" s="1">
        <v>45859</v>
      </c>
      <c r="B81" t="s">
        <v>23</v>
      </c>
      <c r="C81" t="s">
        <v>101</v>
      </c>
      <c r="D81" s="2">
        <v>8443.48</v>
      </c>
      <c r="E81" s="5">
        <v>703786</v>
      </c>
      <c r="F81" s="5">
        <v>31025</v>
      </c>
      <c r="G81" s="5">
        <v>1037</v>
      </c>
      <c r="H81" s="5">
        <v>286</v>
      </c>
      <c r="I81" s="3">
        <v>14261</v>
      </c>
      <c r="J81" s="2" cm="1">
        <f t="array" ref="J81">MarketingTable[[#This Row],[RevenueAttributed]]*_xlfn.SWITCH(MarketingTable[[#This Row],[DataQualityFlag]],"OK",1,"Missing UTMs",0.7,"Suspect attribution",0.4,1)</f>
        <v>14261</v>
      </c>
      <c r="K81" s="2">
        <f>IF(MarketingTable[[#This Row],[Leads]]=0,"",MarketingTable[[#This Row],[Spend]]/MarketingTable[[#This Row],[Leads]])</f>
        <v>8.1422179363548697</v>
      </c>
      <c r="L81" s="4">
        <f>IF(MarketingTable[[#This Row],[Spend]]=0,"",MarketingTable[[#This Row],[RevenueAttributed]]/MarketingTable[[#This Row],[Spend]])</f>
        <v>1.6889955326476762</v>
      </c>
      <c r="N81" t="s">
        <v>18</v>
      </c>
      <c r="O81" s="6">
        <f ca="1">MAX(0,TODAY()-(MarketingTable[[#This Row],[WeekStartDate]]+6))</f>
        <v>175</v>
      </c>
    </row>
    <row r="82" spans="1:15">
      <c r="A82" s="1">
        <v>45859</v>
      </c>
      <c r="B82" t="s">
        <v>25</v>
      </c>
      <c r="C82" t="s">
        <v>35</v>
      </c>
      <c r="D82" s="2">
        <v>1672.79</v>
      </c>
      <c r="E82" s="5">
        <v>524704</v>
      </c>
      <c r="F82" s="5">
        <v>28148</v>
      </c>
      <c r="G82" s="5">
        <v>765</v>
      </c>
      <c r="H82" s="5">
        <v>261</v>
      </c>
      <c r="I82" s="3">
        <v>23070</v>
      </c>
      <c r="J82" s="2" cm="1">
        <f t="array" ref="J82">MarketingTable[[#This Row],[RevenueAttributed]]*_xlfn.SWITCH(MarketingTable[[#This Row],[DataQualityFlag]],"OK",1,"Missing UTMs",0.7,"Suspect attribution",0.4,1)</f>
        <v>23070</v>
      </c>
      <c r="K82" s="2">
        <f>IF(MarketingTable[[#This Row],[Leads]]=0,"",MarketingTable[[#This Row],[Spend]]/MarketingTable[[#This Row],[Leads]])</f>
        <v>2.1866535947712418</v>
      </c>
      <c r="L82" s="4">
        <f>IF(MarketingTable[[#This Row],[Spend]]=0,"",MarketingTable[[#This Row],[RevenueAttributed]]/MarketingTable[[#This Row],[Spend]])</f>
        <v>13.791330651187538</v>
      </c>
      <c r="N82" t="s">
        <v>18</v>
      </c>
      <c r="O82" s="6">
        <f ca="1">MAX(0,TODAY()-(MarketingTable[[#This Row],[WeekStartDate]]+6))</f>
        <v>175</v>
      </c>
    </row>
    <row r="83" spans="1:15">
      <c r="A83" s="1">
        <v>45866</v>
      </c>
      <c r="B83" t="s">
        <v>42</v>
      </c>
      <c r="C83" t="s">
        <v>102</v>
      </c>
      <c r="D83" s="2">
        <v>1894.1</v>
      </c>
      <c r="E83" s="5">
        <v>337686</v>
      </c>
      <c r="F83" s="5">
        <v>7925</v>
      </c>
      <c r="G83" s="5">
        <v>462</v>
      </c>
      <c r="H83" s="5">
        <v>199</v>
      </c>
      <c r="I83" s="3">
        <v>2677</v>
      </c>
      <c r="J83" s="2" cm="1">
        <f t="array" ref="J83">MarketingTable[[#This Row],[RevenueAttributed]]*_xlfn.SWITCH(MarketingTable[[#This Row],[DataQualityFlag]],"OK",1,"Missing UTMs",0.7,"Suspect attribution",0.4,1)</f>
        <v>1873.8999999999999</v>
      </c>
      <c r="K83" s="2">
        <f>IF(MarketingTable[[#This Row],[Leads]]=0,"",MarketingTable[[#This Row],[Spend]]/MarketingTable[[#This Row],[Leads]])</f>
        <v>4.0997835497835498</v>
      </c>
      <c r="L83" s="4">
        <f>IF(MarketingTable[[#This Row],[Spend]]=0,"",MarketingTable[[#This Row],[RevenueAttributed]]/MarketingTable[[#This Row],[Spend]])</f>
        <v>1.4133361490945568</v>
      </c>
      <c r="M83" t="s">
        <v>27</v>
      </c>
      <c r="N83" t="s">
        <v>28</v>
      </c>
      <c r="O83" s="6">
        <f ca="1">MAX(0,TODAY()-(MarketingTable[[#This Row],[WeekStartDate]]+6))</f>
        <v>168</v>
      </c>
    </row>
    <row r="84" spans="1:15">
      <c r="A84" s="1">
        <v>45873</v>
      </c>
      <c r="B84" t="s">
        <v>42</v>
      </c>
      <c r="C84" t="s">
        <v>103</v>
      </c>
      <c r="D84" s="2">
        <v>1999.69</v>
      </c>
      <c r="E84" s="5">
        <v>360640</v>
      </c>
      <c r="F84" s="5">
        <v>5119</v>
      </c>
      <c r="G84" s="5">
        <v>211</v>
      </c>
      <c r="H84" s="5">
        <v>38</v>
      </c>
      <c r="I84" s="3">
        <v>17512</v>
      </c>
      <c r="J84" s="2" cm="1">
        <f t="array" ref="J84">MarketingTable[[#This Row],[RevenueAttributed]]*_xlfn.SWITCH(MarketingTable[[#This Row],[DataQualityFlag]],"OK",1,"Missing UTMs",0.7,"Suspect attribution",0.4,1)</f>
        <v>17512</v>
      </c>
      <c r="K84" s="2">
        <f>IF(MarketingTable[[#This Row],[Leads]]=0,"",MarketingTable[[#This Row],[Spend]]/MarketingTable[[#This Row],[Leads]])</f>
        <v>9.4772037914691953</v>
      </c>
      <c r="L84" s="4">
        <f>IF(MarketingTable[[#This Row],[Spend]]=0,"",MarketingTable[[#This Row],[RevenueAttributed]]/MarketingTable[[#This Row],[Spend]])</f>
        <v>8.7573573903955104</v>
      </c>
      <c r="N84" t="s">
        <v>18</v>
      </c>
      <c r="O84" s="6">
        <f ca="1">MAX(0,TODAY()-(MarketingTable[[#This Row],[WeekStartDate]]+6))</f>
        <v>161</v>
      </c>
    </row>
    <row r="85" spans="1:15">
      <c r="A85" s="1">
        <v>45880</v>
      </c>
      <c r="B85" t="s">
        <v>25</v>
      </c>
      <c r="C85" t="s">
        <v>104</v>
      </c>
      <c r="D85" s="2">
        <v>825.45</v>
      </c>
      <c r="E85" s="5">
        <v>791724</v>
      </c>
      <c r="F85" s="5">
        <v>41677</v>
      </c>
      <c r="G85" s="5">
        <v>434</v>
      </c>
      <c r="H85" s="5">
        <v>134</v>
      </c>
      <c r="I85" s="3">
        <v>5558</v>
      </c>
      <c r="J85" s="2" cm="1">
        <f t="array" ref="J85">MarketingTable[[#This Row],[RevenueAttributed]]*_xlfn.SWITCH(MarketingTable[[#This Row],[DataQualityFlag]],"OK",1,"Missing UTMs",0.7,"Suspect attribution",0.4,1)</f>
        <v>5558</v>
      </c>
      <c r="K85" s="2">
        <f>IF(MarketingTable[[#This Row],[Leads]]=0,"",MarketingTable[[#This Row],[Spend]]/MarketingTable[[#This Row],[Leads]])</f>
        <v>1.9019585253456222</v>
      </c>
      <c r="L85" s="4">
        <f>IF(MarketingTable[[#This Row],[Spend]]=0,"",MarketingTable[[#This Row],[RevenueAttributed]]/MarketingTable[[#This Row],[Spend]])</f>
        <v>6.7332969895208672</v>
      </c>
      <c r="N85" t="s">
        <v>18</v>
      </c>
      <c r="O85" s="6">
        <f ca="1">MAX(0,TODAY()-(MarketingTable[[#This Row],[WeekStartDate]]+6))</f>
        <v>154</v>
      </c>
    </row>
    <row r="86" spans="1:15">
      <c r="A86" s="1">
        <v>45887</v>
      </c>
      <c r="B86" t="s">
        <v>29</v>
      </c>
      <c r="C86" t="s">
        <v>105</v>
      </c>
      <c r="D86" s="2">
        <v>3282.56</v>
      </c>
      <c r="E86" s="5">
        <v>241722</v>
      </c>
      <c r="F86" s="5">
        <v>2579</v>
      </c>
      <c r="G86" s="5">
        <v>1</v>
      </c>
      <c r="H86" s="5">
        <v>0</v>
      </c>
      <c r="I86" s="3">
        <v>11199</v>
      </c>
      <c r="J86" s="2" cm="1">
        <f t="array" ref="J86">MarketingTable[[#This Row],[RevenueAttributed]]*_xlfn.SWITCH(MarketingTable[[#This Row],[DataQualityFlag]],"OK",1,"Missing UTMs",0.7,"Suspect attribution",0.4,1)</f>
        <v>11199</v>
      </c>
      <c r="K86" s="2">
        <f>IF(MarketingTable[[#This Row],[Leads]]=0,"",MarketingTable[[#This Row],[Spend]]/MarketingTable[[#This Row],[Leads]])</f>
        <v>3282.56</v>
      </c>
      <c r="L86" s="4">
        <f>IF(MarketingTable[[#This Row],[Spend]]=0,"",MarketingTable[[#This Row],[RevenueAttributed]]/MarketingTable[[#This Row],[Spend]])</f>
        <v>3.4116665041918504</v>
      </c>
      <c r="M86" t="s">
        <v>17</v>
      </c>
      <c r="N86" t="s">
        <v>18</v>
      </c>
      <c r="O86" s="6">
        <f ca="1">MAX(0,TODAY()-(MarketingTable[[#This Row],[WeekStartDate]]+6))</f>
        <v>147</v>
      </c>
    </row>
    <row r="87" spans="1:15">
      <c r="A87" s="1">
        <v>45894</v>
      </c>
      <c r="B87" t="s">
        <v>19</v>
      </c>
      <c r="C87" t="s">
        <v>106</v>
      </c>
      <c r="D87" s="2">
        <v>8592.57</v>
      </c>
      <c r="E87" s="5">
        <v>195145</v>
      </c>
      <c r="F87" s="5">
        <v>1213</v>
      </c>
      <c r="G87" s="5">
        <v>20</v>
      </c>
      <c r="H87" s="5">
        <v>8</v>
      </c>
      <c r="I87" s="3">
        <v>35135</v>
      </c>
      <c r="J87" s="2" cm="1">
        <f t="array" ref="J87">MarketingTable[[#This Row],[RevenueAttributed]]*_xlfn.SWITCH(MarketingTable[[#This Row],[DataQualityFlag]],"OK",1,"Missing UTMs",0.7,"Suspect attribution",0.4,1)</f>
        <v>35135</v>
      </c>
      <c r="K87" s="2">
        <f>IF(MarketingTable[[#This Row],[Leads]]=0,"",MarketingTable[[#This Row],[Spend]]/MarketingTable[[#This Row],[Leads]])</f>
        <v>429.62849999999997</v>
      </c>
      <c r="L87" s="4">
        <f>IF(MarketingTable[[#This Row],[Spend]]=0,"",MarketingTable[[#This Row],[RevenueAttributed]]/MarketingTable[[#This Row],[Spend]])</f>
        <v>4.0889978202097863</v>
      </c>
      <c r="N87" t="s">
        <v>18</v>
      </c>
      <c r="O87" s="6">
        <f ca="1">MAX(0,TODAY()-(MarketingTable[[#This Row],[WeekStartDate]]+6))</f>
        <v>140</v>
      </c>
    </row>
    <row r="88" spans="1:15">
      <c r="A88" s="1">
        <v>45901</v>
      </c>
      <c r="B88" t="s">
        <v>19</v>
      </c>
      <c r="C88" t="s">
        <v>59</v>
      </c>
      <c r="D88" s="2">
        <v>10823.29</v>
      </c>
      <c r="E88" s="5">
        <v>313280</v>
      </c>
      <c r="F88" s="5">
        <v>3167</v>
      </c>
      <c r="G88" s="5">
        <v>41</v>
      </c>
      <c r="H88" s="5">
        <v>8</v>
      </c>
      <c r="I88" s="3">
        <v>46907</v>
      </c>
      <c r="J88" s="2" cm="1">
        <f t="array" ref="J88">MarketingTable[[#This Row],[RevenueAttributed]]*_xlfn.SWITCH(MarketingTable[[#This Row],[DataQualityFlag]],"OK",1,"Missing UTMs",0.7,"Suspect attribution",0.4,1)</f>
        <v>46907</v>
      </c>
      <c r="K88" s="2">
        <f>IF(MarketingTable[[#This Row],[Leads]]=0,"",MarketingTable[[#This Row],[Spend]]/MarketingTable[[#This Row],[Leads]])</f>
        <v>263.98268292682928</v>
      </c>
      <c r="L88" s="4">
        <f>IF(MarketingTable[[#This Row],[Spend]]=0,"",MarketingTable[[#This Row],[RevenueAttributed]]/MarketingTable[[#This Row],[Spend]])</f>
        <v>4.3338947769116407</v>
      </c>
      <c r="N88" t="s">
        <v>18</v>
      </c>
      <c r="O88" s="6">
        <f ca="1">MAX(0,TODAY()-(MarketingTable[[#This Row],[WeekStartDate]]+6))</f>
        <v>133</v>
      </c>
    </row>
    <row r="89" spans="1:15">
      <c r="A89" s="1">
        <v>45908</v>
      </c>
      <c r="B89" t="s">
        <v>15</v>
      </c>
      <c r="C89" t="s">
        <v>43</v>
      </c>
      <c r="D89" s="2">
        <v>3766.02</v>
      </c>
      <c r="E89" s="5">
        <v>240666</v>
      </c>
      <c r="F89" s="5">
        <v>2308</v>
      </c>
      <c r="G89" s="5">
        <v>48</v>
      </c>
      <c r="H89" s="5">
        <v>18</v>
      </c>
      <c r="I89" s="3">
        <v>39527</v>
      </c>
      <c r="J89" s="2" cm="1">
        <f t="array" ref="J89">MarketingTable[[#This Row],[RevenueAttributed]]*_xlfn.SWITCH(MarketingTable[[#This Row],[DataQualityFlag]],"OK",1,"Missing UTMs",0.7,"Suspect attribution",0.4,1)</f>
        <v>39527</v>
      </c>
      <c r="K89" s="2">
        <f>IF(MarketingTable[[#This Row],[Leads]]=0,"",MarketingTable[[#This Row],[Spend]]/MarketingTable[[#This Row],[Leads]])</f>
        <v>78.458749999999995</v>
      </c>
      <c r="L89" s="4">
        <f>IF(MarketingTable[[#This Row],[Spend]]=0,"",MarketingTable[[#This Row],[RevenueAttributed]]/MarketingTable[[#This Row],[Spend]])</f>
        <v>10.495695721212314</v>
      </c>
      <c r="N89" t="s">
        <v>18</v>
      </c>
      <c r="O89" s="6">
        <f ca="1">MAX(0,TODAY()-(MarketingTable[[#This Row],[WeekStartDate]]+6))</f>
        <v>126</v>
      </c>
    </row>
    <row r="90" spans="1:15">
      <c r="A90" s="1">
        <v>45915</v>
      </c>
      <c r="B90" t="s">
        <v>19</v>
      </c>
      <c r="C90" t="s">
        <v>107</v>
      </c>
      <c r="D90" s="2">
        <v>9439.2999999999993</v>
      </c>
      <c r="E90" s="5">
        <v>257683</v>
      </c>
      <c r="F90" s="5">
        <v>3076</v>
      </c>
      <c r="G90" s="5">
        <v>52</v>
      </c>
      <c r="H90" s="5">
        <v>23</v>
      </c>
      <c r="I90" s="3">
        <v>21160</v>
      </c>
      <c r="J90" s="2" cm="1">
        <f t="array" ref="J90">MarketingTable[[#This Row],[RevenueAttributed]]*_xlfn.SWITCH(MarketingTable[[#This Row],[DataQualityFlag]],"OK",1,"Missing UTMs",0.7,"Suspect attribution",0.4,1)</f>
        <v>21160</v>
      </c>
      <c r="K90" s="2">
        <f>IF(MarketingTable[[#This Row],[Leads]]=0,"",MarketingTable[[#This Row],[Spend]]/MarketingTable[[#This Row],[Leads]])</f>
        <v>181.52499999999998</v>
      </c>
      <c r="L90" s="4">
        <f>IF(MarketingTable[[#This Row],[Spend]]=0,"",MarketingTable[[#This Row],[RevenueAttributed]]/MarketingTable[[#This Row],[Spend]])</f>
        <v>2.2416916508639413</v>
      </c>
      <c r="N90" t="s">
        <v>18</v>
      </c>
      <c r="O90" s="6">
        <f ca="1">MAX(0,TODAY()-(MarketingTable[[#This Row],[WeekStartDate]]+6))</f>
        <v>119</v>
      </c>
    </row>
    <row r="91" spans="1:15">
      <c r="A91" s="1">
        <v>45922</v>
      </c>
      <c r="B91" t="s">
        <v>23</v>
      </c>
      <c r="C91" t="s">
        <v>40</v>
      </c>
      <c r="D91" s="2">
        <v>17226.72</v>
      </c>
      <c r="E91" s="5">
        <v>851968</v>
      </c>
      <c r="F91" s="5">
        <v>40128</v>
      </c>
      <c r="G91" s="5">
        <v>992</v>
      </c>
      <c r="H91" s="5">
        <v>194</v>
      </c>
      <c r="I91" s="3">
        <v>143177</v>
      </c>
      <c r="J91" s="2" cm="1">
        <f t="array" ref="J91">MarketingTable[[#This Row],[RevenueAttributed]]*_xlfn.SWITCH(MarketingTable[[#This Row],[DataQualityFlag]],"OK",1,"Missing UTMs",0.7,"Suspect attribution",0.4,1)</f>
        <v>143177</v>
      </c>
      <c r="K91" s="2">
        <f>IF(MarketingTable[[#This Row],[Leads]]=0,"",MarketingTable[[#This Row],[Spend]]/MarketingTable[[#This Row],[Leads]])</f>
        <v>17.365645161290324</v>
      </c>
      <c r="L91" s="4">
        <f>IF(MarketingTable[[#This Row],[Spend]]=0,"",MarketingTable[[#This Row],[RevenueAttributed]]/MarketingTable[[#This Row],[Spend]])</f>
        <v>8.3113326274531651</v>
      </c>
      <c r="N91" t="s">
        <v>18</v>
      </c>
      <c r="O91" s="6">
        <f ca="1">MAX(0,TODAY()-(MarketingTable[[#This Row],[WeekStartDate]]+6))</f>
        <v>112</v>
      </c>
    </row>
    <row r="92" spans="1:15">
      <c r="A92" s="1">
        <v>45929</v>
      </c>
      <c r="B92" t="s">
        <v>19</v>
      </c>
      <c r="C92" t="s">
        <v>108</v>
      </c>
      <c r="D92" s="2">
        <v>16238.41</v>
      </c>
      <c r="E92" s="5">
        <v>322668</v>
      </c>
      <c r="F92" s="5">
        <v>3654</v>
      </c>
      <c r="G92" s="5">
        <v>37</v>
      </c>
      <c r="H92" s="5">
        <v>9</v>
      </c>
      <c r="I92" s="3">
        <v>94114</v>
      </c>
      <c r="J92" s="2" cm="1">
        <f t="array" ref="J92">MarketingTable[[#This Row],[RevenueAttributed]]*_xlfn.SWITCH(MarketingTable[[#This Row],[DataQualityFlag]],"OK",1,"Missing UTMs",0.7,"Suspect attribution",0.4,1)</f>
        <v>94114</v>
      </c>
      <c r="K92" s="2">
        <f>IF(MarketingTable[[#This Row],[Leads]]=0,"",MarketingTable[[#This Row],[Spend]]/MarketingTable[[#This Row],[Leads]])</f>
        <v>438.87594594594594</v>
      </c>
      <c r="L92" s="4">
        <f>IF(MarketingTable[[#This Row],[Spend]]=0,"",MarketingTable[[#This Row],[RevenueAttributed]]/MarketingTable[[#This Row],[Spend]])</f>
        <v>5.7957644867939653</v>
      </c>
      <c r="N92" t="s">
        <v>18</v>
      </c>
      <c r="O92" s="6">
        <f ca="1">MAX(0,TODAY()-(MarketingTable[[#This Row],[WeekStartDate]]+6))</f>
        <v>105</v>
      </c>
    </row>
    <row r="93" spans="1:15">
      <c r="A93" s="1">
        <v>45936</v>
      </c>
      <c r="B93" t="s">
        <v>42</v>
      </c>
      <c r="C93" t="s">
        <v>64</v>
      </c>
      <c r="D93" s="2">
        <v>1814.36</v>
      </c>
      <c r="E93" s="5">
        <v>413635</v>
      </c>
      <c r="F93" s="5">
        <v>16258</v>
      </c>
      <c r="G93" s="5">
        <v>347</v>
      </c>
      <c r="H93" s="5">
        <v>125</v>
      </c>
      <c r="I93" s="3">
        <v>14710</v>
      </c>
      <c r="J93" s="2" cm="1">
        <f t="array" ref="J93">MarketingTable[[#This Row],[RevenueAttributed]]*_xlfn.SWITCH(MarketingTable[[#This Row],[DataQualityFlag]],"OK",1,"Missing UTMs",0.7,"Suspect attribution",0.4,1)</f>
        <v>14710</v>
      </c>
      <c r="K93" s="2">
        <f>IF(MarketingTable[[#This Row],[Leads]]=0,"",MarketingTable[[#This Row],[Spend]]/MarketingTable[[#This Row],[Leads]])</f>
        <v>5.228703170028818</v>
      </c>
      <c r="L93" s="4">
        <f>IF(MarketingTable[[#This Row],[Spend]]=0,"",MarketingTable[[#This Row],[RevenueAttributed]]/MarketingTable[[#This Row],[Spend]])</f>
        <v>8.107542053396239</v>
      </c>
      <c r="N93" t="s">
        <v>18</v>
      </c>
      <c r="O93" s="6">
        <f ca="1">MAX(0,TODAY()-(MarketingTable[[#This Row],[WeekStartDate]]+6))</f>
        <v>98</v>
      </c>
    </row>
    <row r="94" spans="1:15">
      <c r="A94" s="1">
        <v>45943</v>
      </c>
      <c r="B94" t="s">
        <v>25</v>
      </c>
      <c r="C94" t="s">
        <v>109</v>
      </c>
      <c r="D94" s="2">
        <v>1899.7</v>
      </c>
      <c r="E94" s="5">
        <v>877530</v>
      </c>
      <c r="F94" s="5">
        <v>55756</v>
      </c>
      <c r="G94" s="5">
        <v>540</v>
      </c>
      <c r="H94" s="5">
        <v>206</v>
      </c>
      <c r="I94" s="3">
        <v>322109</v>
      </c>
      <c r="J94" s="2" cm="1">
        <f t="array" ref="J94">MarketingTable[[#This Row],[RevenueAttributed]]*_xlfn.SWITCH(MarketingTable[[#This Row],[DataQualityFlag]],"OK",1,"Missing UTMs",0.7,"Suspect attribution",0.4,1)</f>
        <v>128843.6</v>
      </c>
      <c r="K94" s="2">
        <f>IF(MarketingTable[[#This Row],[Leads]]=0,"",MarketingTable[[#This Row],[Spend]]/MarketingTable[[#This Row],[Leads]])</f>
        <v>3.517962962962963</v>
      </c>
      <c r="L94" s="4">
        <f>IF(MarketingTable[[#This Row],[Spend]]=0,"",MarketingTable[[#This Row],[RevenueAttributed]]/MarketingTable[[#This Row],[Spend]])</f>
        <v>169.55782491972417</v>
      </c>
      <c r="M94" t="s">
        <v>48</v>
      </c>
      <c r="N94" t="s">
        <v>49</v>
      </c>
      <c r="O94" s="6">
        <f ca="1">MAX(0,TODAY()-(MarketingTable[[#This Row],[WeekStartDate]]+6))</f>
        <v>91</v>
      </c>
    </row>
    <row r="95" spans="1:15">
      <c r="A95" s="1">
        <v>45950</v>
      </c>
      <c r="B95" t="s">
        <v>25</v>
      </c>
      <c r="C95" t="s">
        <v>110</v>
      </c>
      <c r="D95" s="2">
        <v>2920.51</v>
      </c>
      <c r="E95" s="5">
        <v>832054</v>
      </c>
      <c r="F95" s="5">
        <v>49958</v>
      </c>
      <c r="G95" s="5">
        <v>610</v>
      </c>
      <c r="H95" s="5">
        <v>144</v>
      </c>
      <c r="I95" s="3">
        <v>17889</v>
      </c>
      <c r="J95" s="2" cm="1">
        <f t="array" ref="J95">MarketingTable[[#This Row],[RevenueAttributed]]*_xlfn.SWITCH(MarketingTable[[#This Row],[DataQualityFlag]],"OK",1,"Missing UTMs",0.7,"Suspect attribution",0.4,1)</f>
        <v>17889</v>
      </c>
      <c r="K95" s="2">
        <f>IF(MarketingTable[[#This Row],[Leads]]=0,"",MarketingTable[[#This Row],[Spend]]/MarketingTable[[#This Row],[Leads]])</f>
        <v>4.7877213114754102</v>
      </c>
      <c r="L95" s="4">
        <f>IF(MarketingTable[[#This Row],[Spend]]=0,"",MarketingTable[[#This Row],[RevenueAttributed]]/MarketingTable[[#This Row],[Spend]])</f>
        <v>6.1253000332133762</v>
      </c>
      <c r="N95" t="s">
        <v>18</v>
      </c>
      <c r="O95" s="6">
        <f ca="1">MAX(0,TODAY()-(MarketingTable[[#This Row],[WeekStartDate]]+6))</f>
        <v>84</v>
      </c>
    </row>
    <row r="96" spans="1:15">
      <c r="A96" s="1">
        <v>45957</v>
      </c>
      <c r="B96" t="s">
        <v>19</v>
      </c>
      <c r="C96" t="s">
        <v>111</v>
      </c>
      <c r="D96" s="2">
        <v>9229.27</v>
      </c>
      <c r="E96" s="5">
        <v>232754</v>
      </c>
      <c r="F96" s="5">
        <v>2834</v>
      </c>
      <c r="G96" s="5">
        <v>25</v>
      </c>
      <c r="H96" s="5">
        <v>10</v>
      </c>
      <c r="I96" s="3">
        <v>29790</v>
      </c>
      <c r="J96" s="2" cm="1">
        <f t="array" ref="J96">MarketingTable[[#This Row],[RevenueAttributed]]*_xlfn.SWITCH(MarketingTable[[#This Row],[DataQualityFlag]],"OK",1,"Missing UTMs",0.7,"Suspect attribution",0.4,1)</f>
        <v>29790</v>
      </c>
      <c r="K96" s="2">
        <f>IF(MarketingTable[[#This Row],[Leads]]=0,"",MarketingTable[[#This Row],[Spend]]/MarketingTable[[#This Row],[Leads]])</f>
        <v>369.17080000000004</v>
      </c>
      <c r="L96" s="4">
        <f>IF(MarketingTable[[#This Row],[Spend]]=0,"",MarketingTable[[#This Row],[RevenueAttributed]]/MarketingTable[[#This Row],[Spend]])</f>
        <v>3.2277742443335171</v>
      </c>
      <c r="N96" t="s">
        <v>18</v>
      </c>
      <c r="O96" s="6">
        <f ca="1">MAX(0,TODAY()-(MarketingTable[[#This Row],[WeekStartDate]]+6))</f>
        <v>77</v>
      </c>
    </row>
    <row r="97" spans="1:15">
      <c r="A97" s="1">
        <v>45964</v>
      </c>
      <c r="B97" t="s">
        <v>15</v>
      </c>
      <c r="C97" t="s">
        <v>112</v>
      </c>
      <c r="D97" s="2">
        <v>3031.13</v>
      </c>
      <c r="E97" s="5">
        <v>124768</v>
      </c>
      <c r="F97" s="5">
        <v>1444</v>
      </c>
      <c r="G97" s="5">
        <v>18</v>
      </c>
      <c r="H97" s="5">
        <v>5</v>
      </c>
      <c r="I97" s="3">
        <v>10410</v>
      </c>
      <c r="J97" s="2" cm="1">
        <f t="array" ref="J97">MarketingTable[[#This Row],[RevenueAttributed]]*_xlfn.SWITCH(MarketingTable[[#This Row],[DataQualityFlag]],"OK",1,"Missing UTMs",0.7,"Suspect attribution",0.4,1)</f>
        <v>10410</v>
      </c>
      <c r="K97" s="2">
        <f>IF(MarketingTable[[#This Row],[Leads]]=0,"",MarketingTable[[#This Row],[Spend]]/MarketingTable[[#This Row],[Leads]])</f>
        <v>168.39611111111111</v>
      </c>
      <c r="L97" s="4">
        <f>IF(MarketingTable[[#This Row],[Spend]]=0,"",MarketingTable[[#This Row],[RevenueAttributed]]/MarketingTable[[#This Row],[Spend]])</f>
        <v>3.4343627624021402</v>
      </c>
      <c r="N97" t="s">
        <v>18</v>
      </c>
      <c r="O97" s="6">
        <f ca="1">MAX(0,TODAY()-(MarketingTable[[#This Row],[WeekStartDate]]+6))</f>
        <v>70</v>
      </c>
    </row>
    <row r="98" spans="1:15">
      <c r="A98" s="1">
        <v>45971</v>
      </c>
      <c r="B98" t="s">
        <v>23</v>
      </c>
      <c r="C98" t="s">
        <v>113</v>
      </c>
      <c r="D98" s="2">
        <v>13263.08</v>
      </c>
      <c r="E98" s="5">
        <v>727523</v>
      </c>
      <c r="F98" s="5">
        <v>14689</v>
      </c>
      <c r="G98" s="5">
        <v>387</v>
      </c>
      <c r="H98" s="5">
        <v>122</v>
      </c>
      <c r="I98" s="3">
        <v>18227</v>
      </c>
      <c r="J98" s="2" cm="1">
        <f t="array" ref="J98">MarketingTable[[#This Row],[RevenueAttributed]]*_xlfn.SWITCH(MarketingTable[[#This Row],[DataQualityFlag]],"OK",1,"Missing UTMs",0.7,"Suspect attribution",0.4,1)</f>
        <v>18227</v>
      </c>
      <c r="K98" s="2">
        <f>IF(MarketingTable[[#This Row],[Leads]]=0,"",MarketingTable[[#This Row],[Spend]]/MarketingTable[[#This Row],[Leads]])</f>
        <v>34.271524547803615</v>
      </c>
      <c r="L98" s="4">
        <f>IF(MarketingTable[[#This Row],[Spend]]=0,"",MarketingTable[[#This Row],[RevenueAttributed]]/MarketingTable[[#This Row],[Spend]])</f>
        <v>1.374266007594013</v>
      </c>
      <c r="N98" t="s">
        <v>18</v>
      </c>
      <c r="O98" s="6">
        <f ca="1">MAX(0,TODAY()-(MarketingTable[[#This Row],[WeekStartDate]]+6))</f>
        <v>63</v>
      </c>
    </row>
    <row r="99" spans="1:15">
      <c r="A99" s="1">
        <v>45978</v>
      </c>
      <c r="B99" t="s">
        <v>15</v>
      </c>
      <c r="C99" t="s">
        <v>114</v>
      </c>
      <c r="D99" s="2">
        <v>3377.41</v>
      </c>
      <c r="E99" s="5">
        <v>186873</v>
      </c>
      <c r="F99" s="5">
        <v>2232</v>
      </c>
      <c r="G99" s="5">
        <v>37</v>
      </c>
      <c r="H99" s="5">
        <v>12</v>
      </c>
      <c r="I99" s="3">
        <v>25642</v>
      </c>
      <c r="J99" s="2" cm="1">
        <f t="array" ref="J99">MarketingTable[[#This Row],[RevenueAttributed]]*_xlfn.SWITCH(MarketingTable[[#This Row],[DataQualityFlag]],"OK",1,"Missing UTMs",0.7,"Suspect attribution",0.4,1)</f>
        <v>25642</v>
      </c>
      <c r="K99" s="2">
        <f>IF(MarketingTable[[#This Row],[Leads]]=0,"",MarketingTable[[#This Row],[Spend]]/MarketingTable[[#This Row],[Leads]])</f>
        <v>91.281351351351347</v>
      </c>
      <c r="L99" s="4">
        <f>IF(MarketingTable[[#This Row],[Spend]]=0,"",MarketingTable[[#This Row],[RevenueAttributed]]/MarketingTable[[#This Row],[Spend]])</f>
        <v>7.5922082305672101</v>
      </c>
      <c r="N99" t="s">
        <v>18</v>
      </c>
      <c r="O99" s="6">
        <f ca="1">MAX(0,TODAY()-(MarketingTable[[#This Row],[WeekStartDate]]+6))</f>
        <v>56</v>
      </c>
    </row>
    <row r="100" spans="1:15">
      <c r="A100" s="1">
        <v>45985</v>
      </c>
      <c r="B100" t="s">
        <v>23</v>
      </c>
      <c r="C100" t="s">
        <v>86</v>
      </c>
      <c r="D100" s="2">
        <v>6190.05</v>
      </c>
      <c r="E100" s="5">
        <v>599403</v>
      </c>
      <c r="F100" s="5">
        <v>25256</v>
      </c>
      <c r="G100" s="5">
        <v>660</v>
      </c>
      <c r="H100" s="5">
        <v>173</v>
      </c>
      <c r="I100" s="3">
        <v>49858</v>
      </c>
      <c r="J100" s="2" cm="1">
        <f t="array" ref="J100">MarketingTable[[#This Row],[RevenueAttributed]]*_xlfn.SWITCH(MarketingTable[[#This Row],[DataQualityFlag]],"OK",1,"Missing UTMs",0.7,"Suspect attribution",0.4,1)</f>
        <v>49858</v>
      </c>
      <c r="K100" s="2">
        <f>IF(MarketingTable[[#This Row],[Leads]]=0,"",MarketingTable[[#This Row],[Spend]]/MarketingTable[[#This Row],[Leads]])</f>
        <v>9.3788636363636364</v>
      </c>
      <c r="L100" s="4">
        <f>IF(MarketingTable[[#This Row],[Spend]]=0,"",MarketingTable[[#This Row],[RevenueAttributed]]/MarketingTable[[#This Row],[Spend]])</f>
        <v>8.0545391394253674</v>
      </c>
      <c r="N100" t="s">
        <v>18</v>
      </c>
      <c r="O100" s="6">
        <f ca="1">MAX(0,TODAY()-(MarketingTable[[#This Row],[WeekStartDate]]+6))</f>
        <v>49</v>
      </c>
    </row>
    <row r="101" spans="1:15">
      <c r="A101" s="1">
        <v>45992</v>
      </c>
      <c r="B101" t="s">
        <v>15</v>
      </c>
      <c r="C101" t="s">
        <v>115</v>
      </c>
      <c r="D101" s="2">
        <v>1453.38</v>
      </c>
      <c r="E101" s="5">
        <v>58668</v>
      </c>
      <c r="F101" s="5">
        <v>1024</v>
      </c>
      <c r="G101" s="5">
        <v>30</v>
      </c>
      <c r="H101" s="5">
        <v>6</v>
      </c>
      <c r="I101" s="3">
        <v>7413</v>
      </c>
      <c r="J101" s="2" cm="1">
        <f t="array" ref="J101">MarketingTable[[#This Row],[RevenueAttributed]]*_xlfn.SWITCH(MarketingTable[[#This Row],[DataQualityFlag]],"OK",1,"Missing UTMs",0.7,"Suspect attribution",0.4,1)</f>
        <v>7413</v>
      </c>
      <c r="K101" s="2">
        <f>IF(MarketingTable[[#This Row],[Leads]]=0,"",MarketingTable[[#This Row],[Spend]]/MarketingTable[[#This Row],[Leads]])</f>
        <v>48.446000000000005</v>
      </c>
      <c r="L101" s="4">
        <f>IF(MarketingTable[[#This Row],[Spend]]=0,"",MarketingTable[[#This Row],[RevenueAttributed]]/MarketingTable[[#This Row],[Spend]])</f>
        <v>5.100524295091442</v>
      </c>
      <c r="N101" t="s">
        <v>18</v>
      </c>
      <c r="O101" s="6">
        <f ca="1">MAX(0,TODAY()-(MarketingTable[[#This Row],[WeekStartDate]]+6))</f>
        <v>42</v>
      </c>
    </row>
    <row r="102" spans="1:15">
      <c r="A102" s="1">
        <v>45999</v>
      </c>
      <c r="B102" t="s">
        <v>15</v>
      </c>
      <c r="C102" t="s">
        <v>116</v>
      </c>
      <c r="D102" s="2">
        <v>2008.55</v>
      </c>
      <c r="E102" s="5">
        <v>144296</v>
      </c>
      <c r="F102" s="5">
        <v>1230</v>
      </c>
      <c r="G102" s="5">
        <v>33</v>
      </c>
      <c r="H102" s="5">
        <v>14</v>
      </c>
      <c r="I102" s="3">
        <v>7808</v>
      </c>
      <c r="J102" s="2" cm="1">
        <f t="array" ref="J102">MarketingTable[[#This Row],[RevenueAttributed]]*_xlfn.SWITCH(MarketingTable[[#This Row],[DataQualityFlag]],"OK",1,"Missing UTMs",0.7,"Suspect attribution",0.4,1)</f>
        <v>7808</v>
      </c>
      <c r="K102" s="2">
        <f>IF(MarketingTable[[#This Row],[Leads]]=0,"",MarketingTable[[#This Row],[Spend]]/MarketingTable[[#This Row],[Leads]])</f>
        <v>60.865151515151517</v>
      </c>
      <c r="L102" s="4">
        <f>IF(MarketingTable[[#This Row],[Spend]]=0,"",MarketingTable[[#This Row],[RevenueAttributed]]/MarketingTable[[#This Row],[Spend]])</f>
        <v>3.8873814443255084</v>
      </c>
      <c r="N102" t="s">
        <v>18</v>
      </c>
      <c r="O102" s="6">
        <f ca="1">MAX(0,TODAY()-(MarketingTable[[#This Row],[WeekStartDate]]+6))</f>
        <v>35</v>
      </c>
    </row>
    <row r="103" spans="1:15">
      <c r="A103" s="1">
        <v>46006</v>
      </c>
      <c r="B103" t="s">
        <v>25</v>
      </c>
      <c r="C103" t="s">
        <v>117</v>
      </c>
      <c r="D103" s="2">
        <v>1962.25</v>
      </c>
      <c r="E103" s="5">
        <v>1647378</v>
      </c>
      <c r="F103" s="5">
        <v>37582</v>
      </c>
      <c r="G103" s="5">
        <v>638</v>
      </c>
      <c r="H103" s="5">
        <v>269</v>
      </c>
      <c r="I103" s="3">
        <v>2695</v>
      </c>
      <c r="J103" s="2" cm="1">
        <f t="array" ref="J103">MarketingTable[[#This Row],[RevenueAttributed]]*_xlfn.SWITCH(MarketingTable[[#This Row],[DataQualityFlag]],"OK",1,"Missing UTMs",0.7,"Suspect attribution",0.4,1)</f>
        <v>2695</v>
      </c>
      <c r="K103" s="2">
        <f>IF(MarketingTable[[#This Row],[Leads]]=0,"",MarketingTable[[#This Row],[Spend]]/MarketingTable[[#This Row],[Leads]])</f>
        <v>3.0756269592476491</v>
      </c>
      <c r="L103" s="4">
        <f>IF(MarketingTable[[#This Row],[Spend]]=0,"",MarketingTable[[#This Row],[RevenueAttributed]]/MarketingTable[[#This Row],[Spend]])</f>
        <v>1.3734233660338897</v>
      </c>
      <c r="N103" t="s">
        <v>18</v>
      </c>
      <c r="O103" s="6">
        <f ca="1">MAX(0,TODAY()-(MarketingTable[[#This Row],[WeekStartDate]]+6))</f>
        <v>28</v>
      </c>
    </row>
    <row r="104" spans="1:15">
      <c r="A104" s="1">
        <v>46013</v>
      </c>
      <c r="B104" t="s">
        <v>29</v>
      </c>
      <c r="C104" t="s">
        <v>118</v>
      </c>
      <c r="D104" s="2">
        <v>3294.43</v>
      </c>
      <c r="E104" s="5">
        <v>384956</v>
      </c>
      <c r="F104" s="5">
        <v>7600</v>
      </c>
      <c r="G104" s="5">
        <v>77</v>
      </c>
      <c r="H104" s="5">
        <v>19</v>
      </c>
      <c r="I104" s="3">
        <v>599639</v>
      </c>
      <c r="J104" s="2" cm="1">
        <f t="array" ref="J104">MarketingTable[[#This Row],[RevenueAttributed]]*_xlfn.SWITCH(MarketingTable[[#This Row],[DataQualityFlag]],"OK",1,"Missing UTMs",0.7,"Suspect attribution",0.4,1)</f>
        <v>239855.6</v>
      </c>
      <c r="K104" s="2">
        <f>IF(MarketingTable[[#This Row],[Leads]]=0,"",MarketingTable[[#This Row],[Spend]]/MarketingTable[[#This Row],[Leads]])</f>
        <v>42.784805194805195</v>
      </c>
      <c r="L104" s="4">
        <f>IF(MarketingTable[[#This Row],[Spend]]=0,"",MarketingTable[[#This Row],[RevenueAttributed]]/MarketingTable[[#This Row],[Spend]])</f>
        <v>182.01600883916186</v>
      </c>
      <c r="M104" t="s">
        <v>48</v>
      </c>
      <c r="N104" t="s">
        <v>49</v>
      </c>
      <c r="O104" s="6">
        <f ca="1">MAX(0,TODAY()-(MarketingTable[[#This Row],[WeekStartDate]]+6))</f>
        <v>21</v>
      </c>
    </row>
    <row r="105" spans="1:15">
      <c r="A105" s="1">
        <v>46020</v>
      </c>
      <c r="B105" t="s">
        <v>15</v>
      </c>
      <c r="C105" t="s">
        <v>87</v>
      </c>
      <c r="D105" s="2">
        <v>1037.1199999999999</v>
      </c>
      <c r="E105" s="5">
        <v>72331</v>
      </c>
      <c r="F105" s="5">
        <v>1382</v>
      </c>
      <c r="G105" s="5">
        <v>18</v>
      </c>
      <c r="H105" s="5">
        <v>4</v>
      </c>
      <c r="I105" s="3">
        <v>4005</v>
      </c>
      <c r="J105" s="2" cm="1">
        <f t="array" ref="J105">MarketingTable[[#This Row],[RevenueAttributed]]*_xlfn.SWITCH(MarketingTable[[#This Row],[DataQualityFlag]],"OK",1,"Missing UTMs",0.7,"Suspect attribution",0.4,1)</f>
        <v>4005</v>
      </c>
      <c r="K105" s="2">
        <f>IF(MarketingTable[[#This Row],[Leads]]=0,"",MarketingTable[[#This Row],[Spend]]/MarketingTable[[#This Row],[Leads]])</f>
        <v>57.617777777777775</v>
      </c>
      <c r="L105" s="4">
        <f>IF(MarketingTable[[#This Row],[Spend]]=0,"",MarketingTable[[#This Row],[RevenueAttributed]]/MarketingTable[[#This Row],[Spend]])</f>
        <v>3.8616553532860234</v>
      </c>
      <c r="N105" t="s">
        <v>18</v>
      </c>
      <c r="O105" s="6">
        <f ca="1">MAX(0,TODAY()-(MarketingTable[[#This Row],[WeekStartDate]]+6))</f>
        <v>14</v>
      </c>
    </row>
    <row r="106" spans="1:15">
      <c r="A106" s="1">
        <v>45670</v>
      </c>
      <c r="B106" t="s">
        <v>19</v>
      </c>
      <c r="C106" t="s">
        <v>119</v>
      </c>
      <c r="D106" s="2">
        <v>14174.28</v>
      </c>
      <c r="E106" s="5">
        <v>430074</v>
      </c>
      <c r="F106" s="5">
        <v>5125</v>
      </c>
      <c r="G106" s="5">
        <v>70</v>
      </c>
      <c r="H106" s="5">
        <v>13</v>
      </c>
      <c r="I106" s="3">
        <v>20925</v>
      </c>
      <c r="J106" s="2" cm="1">
        <f t="array" ref="J106">MarketingTable[[#This Row],[RevenueAttributed]]*_xlfn.SWITCH(MarketingTable[[#This Row],[DataQualityFlag]],"OK",1,"Missing UTMs",0.7,"Suspect attribution",0.4,1)</f>
        <v>14647.499999999998</v>
      </c>
      <c r="K106" s="2">
        <f>IF(MarketingTable[[#This Row],[Leads]]=0,"",MarketingTable[[#This Row],[Spend]]/MarketingTable[[#This Row],[Leads]])</f>
        <v>202.48971428571429</v>
      </c>
      <c r="L106" s="4">
        <f>IF(MarketingTable[[#This Row],[Spend]]=0,"",MarketingTable[[#This Row],[RevenueAttributed]]/MarketingTable[[#This Row],[Spend]])</f>
        <v>1.4762654611027861</v>
      </c>
      <c r="M106" t="s">
        <v>27</v>
      </c>
      <c r="N106" t="s">
        <v>28</v>
      </c>
      <c r="O106" s="6">
        <f ca="1">MAX(0,TODAY()-(MarketingTable[[#This Row],[WeekStartDate]]+6))</f>
        <v>364</v>
      </c>
    </row>
    <row r="107" spans="1:15">
      <c r="A107" s="1">
        <v>45670</v>
      </c>
      <c r="B107" t="s">
        <v>23</v>
      </c>
      <c r="C107" t="s">
        <v>38</v>
      </c>
      <c r="D107" s="2">
        <v>4158.38</v>
      </c>
      <c r="E107" s="5">
        <v>286505</v>
      </c>
      <c r="F107" s="5">
        <v>12227</v>
      </c>
      <c r="G107" s="5">
        <v>159</v>
      </c>
      <c r="H107" s="5">
        <v>37</v>
      </c>
      <c r="I107" s="3">
        <v>23856</v>
      </c>
      <c r="J107" s="2" cm="1">
        <f t="array" ref="J107">MarketingTable[[#This Row],[RevenueAttributed]]*_xlfn.SWITCH(MarketingTable[[#This Row],[DataQualityFlag]],"OK",1,"Missing UTMs",0.7,"Suspect attribution",0.4,1)</f>
        <v>23856</v>
      </c>
      <c r="K107" s="2">
        <f>IF(MarketingTable[[#This Row],[Leads]]=0,"",MarketingTable[[#This Row],[Spend]]/MarketingTable[[#This Row],[Leads]])</f>
        <v>26.153333333333332</v>
      </c>
      <c r="L107" s="4">
        <f>IF(MarketingTable[[#This Row],[Spend]]=0,"",MarketingTable[[#This Row],[RevenueAttributed]]/MarketingTable[[#This Row],[Spend]])</f>
        <v>5.7368494461785602</v>
      </c>
      <c r="N107" t="s">
        <v>18</v>
      </c>
      <c r="O107" s="6">
        <f ca="1">MAX(0,TODAY()-(MarketingTable[[#This Row],[WeekStartDate]]+6))</f>
        <v>364</v>
      </c>
    </row>
    <row r="108" spans="1:15">
      <c r="A108" s="1">
        <v>45677</v>
      </c>
      <c r="B108" t="s">
        <v>23</v>
      </c>
      <c r="C108" t="s">
        <v>120</v>
      </c>
      <c r="D108" s="2">
        <v>5665.47</v>
      </c>
      <c r="E108" s="5">
        <v>309816</v>
      </c>
      <c r="F108" s="5">
        <v>12582</v>
      </c>
      <c r="G108" s="5">
        <v>358</v>
      </c>
      <c r="H108" s="5">
        <v>80</v>
      </c>
      <c r="I108" s="3">
        <v>14392</v>
      </c>
      <c r="J108" s="2" cm="1">
        <f t="array" ref="J108">MarketingTable[[#This Row],[RevenueAttributed]]*_xlfn.SWITCH(MarketingTable[[#This Row],[DataQualityFlag]],"OK",1,"Missing UTMs",0.7,"Suspect attribution",0.4,1)</f>
        <v>14392</v>
      </c>
      <c r="K108" s="2">
        <f>IF(MarketingTable[[#This Row],[Leads]]=0,"",MarketingTable[[#This Row],[Spend]]/MarketingTable[[#This Row],[Leads]])</f>
        <v>15.825335195530727</v>
      </c>
      <c r="L108" s="4">
        <f>IF(MarketingTable[[#This Row],[Spend]]=0,"",MarketingTable[[#This Row],[RevenueAttributed]]/MarketingTable[[#This Row],[Spend]])</f>
        <v>2.5403011577150703</v>
      </c>
      <c r="N108" t="s">
        <v>18</v>
      </c>
      <c r="O108" s="6">
        <f ca="1">MAX(0,TODAY()-(MarketingTable[[#This Row],[WeekStartDate]]+6))</f>
        <v>357</v>
      </c>
    </row>
    <row r="109" spans="1:15">
      <c r="A109" s="1">
        <v>45684</v>
      </c>
      <c r="B109" t="s">
        <v>25</v>
      </c>
      <c r="C109" t="s">
        <v>121</v>
      </c>
      <c r="D109" s="2">
        <v>1194.43</v>
      </c>
      <c r="E109" s="5">
        <v>348798</v>
      </c>
      <c r="F109" s="5">
        <v>6365</v>
      </c>
      <c r="G109" s="5">
        <v>81</v>
      </c>
      <c r="H109" s="5">
        <v>18</v>
      </c>
      <c r="I109" s="3">
        <v>10979</v>
      </c>
      <c r="J109" s="2" cm="1">
        <f t="array" ref="J109">MarketingTable[[#This Row],[RevenueAttributed]]*_xlfn.SWITCH(MarketingTable[[#This Row],[DataQualityFlag]],"OK",1,"Missing UTMs",0.7,"Suspect attribution",0.4,1)</f>
        <v>10979</v>
      </c>
      <c r="K109" s="2">
        <f>IF(MarketingTable[[#This Row],[Leads]]=0,"",MarketingTable[[#This Row],[Spend]]/MarketingTable[[#This Row],[Leads]])</f>
        <v>14.74604938271605</v>
      </c>
      <c r="L109" s="4">
        <f>IF(MarketingTable[[#This Row],[Spend]]=0,"",MarketingTable[[#This Row],[RevenueAttributed]]/MarketingTable[[#This Row],[Spend]])</f>
        <v>9.1918320872717523</v>
      </c>
      <c r="N109" t="s">
        <v>18</v>
      </c>
      <c r="O109" s="6">
        <f ca="1">MAX(0,TODAY()-(MarketingTable[[#This Row],[WeekStartDate]]+6))</f>
        <v>350</v>
      </c>
    </row>
    <row r="110" spans="1:15">
      <c r="A110" s="1">
        <v>45691</v>
      </c>
      <c r="B110" t="s">
        <v>29</v>
      </c>
      <c r="C110" t="s">
        <v>46</v>
      </c>
      <c r="D110" s="2">
        <v>4333.42</v>
      </c>
      <c r="E110" s="5">
        <v>457229</v>
      </c>
      <c r="F110" s="5">
        <v>7681</v>
      </c>
      <c r="G110" s="5">
        <v>89</v>
      </c>
      <c r="H110" s="5">
        <v>36</v>
      </c>
      <c r="I110" s="3">
        <v>35207</v>
      </c>
      <c r="J110" s="2" cm="1">
        <f t="array" ref="J110">MarketingTable[[#This Row],[RevenueAttributed]]*_xlfn.SWITCH(MarketingTable[[#This Row],[DataQualityFlag]],"OK",1,"Missing UTMs",0.7,"Suspect attribution",0.4,1)</f>
        <v>35207</v>
      </c>
      <c r="K110" s="2">
        <f>IF(MarketingTable[[#This Row],[Leads]]=0,"",MarketingTable[[#This Row],[Spend]]/MarketingTable[[#This Row],[Leads]])</f>
        <v>48.690112359550561</v>
      </c>
      <c r="L110" s="4">
        <f>IF(MarketingTable[[#This Row],[Spend]]=0,"",MarketingTable[[#This Row],[RevenueAttributed]]/MarketingTable[[#This Row],[Spend]])</f>
        <v>8.124529817095965</v>
      </c>
      <c r="N110" t="s">
        <v>18</v>
      </c>
      <c r="O110" s="6">
        <f ca="1">MAX(0,TODAY()-(MarketingTable[[#This Row],[WeekStartDate]]+6))</f>
        <v>343</v>
      </c>
    </row>
    <row r="111" spans="1:15">
      <c r="A111" s="1">
        <v>45698</v>
      </c>
      <c r="B111" t="s">
        <v>19</v>
      </c>
      <c r="C111" t="s">
        <v>122</v>
      </c>
      <c r="D111" s="2">
        <v>14349.52</v>
      </c>
      <c r="E111" s="5">
        <v>302438</v>
      </c>
      <c r="F111" s="5">
        <v>1641</v>
      </c>
      <c r="G111" s="5">
        <v>41</v>
      </c>
      <c r="H111" s="5">
        <v>12</v>
      </c>
      <c r="I111" s="3">
        <v>88790</v>
      </c>
      <c r="J111" s="2" cm="1">
        <f t="array" ref="J111">MarketingTable[[#This Row],[RevenueAttributed]]*_xlfn.SWITCH(MarketingTable[[#This Row],[DataQualityFlag]],"OK",1,"Missing UTMs",0.7,"Suspect attribution",0.4,1)</f>
        <v>88790</v>
      </c>
      <c r="K111" s="2">
        <f>IF(MarketingTable[[#This Row],[Leads]]=0,"",MarketingTable[[#This Row],[Spend]]/MarketingTable[[#This Row],[Leads]])</f>
        <v>349.98829268292684</v>
      </c>
      <c r="L111" s="4">
        <f>IF(MarketingTable[[#This Row],[Spend]]=0,"",MarketingTable[[#This Row],[RevenueAttributed]]/MarketingTable[[#This Row],[Spend]])</f>
        <v>6.1876634201004634</v>
      </c>
      <c r="N111" t="s">
        <v>18</v>
      </c>
      <c r="O111" s="6">
        <f ca="1">MAX(0,TODAY()-(MarketingTable[[#This Row],[WeekStartDate]]+6))</f>
        <v>336</v>
      </c>
    </row>
    <row r="112" spans="1:15">
      <c r="A112" s="1">
        <v>45705</v>
      </c>
      <c r="B112" t="s">
        <v>19</v>
      </c>
      <c r="C112" t="s">
        <v>20</v>
      </c>
      <c r="D112" s="2">
        <v>12811.9</v>
      </c>
      <c r="E112" s="5">
        <v>320382</v>
      </c>
      <c r="F112" s="5">
        <v>1593</v>
      </c>
      <c r="G112" s="5">
        <v>29</v>
      </c>
      <c r="H112" s="5">
        <v>6</v>
      </c>
      <c r="I112" s="3">
        <v>22567</v>
      </c>
      <c r="J112" s="2" cm="1">
        <f t="array" ref="J112">MarketingTable[[#This Row],[RevenueAttributed]]*_xlfn.SWITCH(MarketingTable[[#This Row],[DataQualityFlag]],"OK",1,"Missing UTMs",0.7,"Suspect attribution",0.4,1)</f>
        <v>22567</v>
      </c>
      <c r="K112" s="2">
        <f>IF(MarketingTable[[#This Row],[Leads]]=0,"",MarketingTable[[#This Row],[Spend]]/MarketingTable[[#This Row],[Leads]])</f>
        <v>441.7896551724138</v>
      </c>
      <c r="L112" s="4">
        <f>IF(MarketingTable[[#This Row],[Spend]]=0,"",MarketingTable[[#This Row],[RevenueAttributed]]/MarketingTable[[#This Row],[Spend]])</f>
        <v>1.7614093147776677</v>
      </c>
      <c r="N112" t="s">
        <v>18</v>
      </c>
      <c r="O112" s="6">
        <f ca="1">MAX(0,TODAY()-(MarketingTable[[#This Row],[WeekStartDate]]+6))</f>
        <v>329</v>
      </c>
    </row>
    <row r="113" spans="1:15">
      <c r="A113" s="1">
        <v>45712</v>
      </c>
      <c r="B113" t="s">
        <v>42</v>
      </c>
      <c r="C113" t="s">
        <v>93</v>
      </c>
      <c r="D113" s="2">
        <v>444.49</v>
      </c>
      <c r="E113" s="5">
        <v>106686</v>
      </c>
      <c r="F113" s="5">
        <v>1495</v>
      </c>
      <c r="G113" s="5">
        <v>84</v>
      </c>
      <c r="H113" s="5">
        <v>22</v>
      </c>
      <c r="I113" s="3">
        <v>4957</v>
      </c>
      <c r="J113" s="2" cm="1">
        <f t="array" ref="J113">MarketingTable[[#This Row],[RevenueAttributed]]*_xlfn.SWITCH(MarketingTable[[#This Row],[DataQualityFlag]],"OK",1,"Missing UTMs",0.7,"Suspect attribution",0.4,1)</f>
        <v>4957</v>
      </c>
      <c r="K113" s="2">
        <f>IF(MarketingTable[[#This Row],[Leads]]=0,"",MarketingTable[[#This Row],[Spend]]/MarketingTable[[#This Row],[Leads]])</f>
        <v>5.2915476190476189</v>
      </c>
      <c r="L113" s="4">
        <f>IF(MarketingTable[[#This Row],[Spend]]=0,"",MarketingTable[[#This Row],[RevenueAttributed]]/MarketingTable[[#This Row],[Spend]])</f>
        <v>11.152106909041823</v>
      </c>
      <c r="N113" t="s">
        <v>18</v>
      </c>
      <c r="O113" s="6">
        <f ca="1">MAX(0,TODAY()-(MarketingTable[[#This Row],[WeekStartDate]]+6))</f>
        <v>322</v>
      </c>
    </row>
    <row r="114" spans="1:15">
      <c r="A114" s="1">
        <v>45719</v>
      </c>
      <c r="B114" t="s">
        <v>25</v>
      </c>
      <c r="C114" t="s">
        <v>123</v>
      </c>
      <c r="D114" s="2">
        <v>619.25</v>
      </c>
      <c r="E114" s="5">
        <v>196220</v>
      </c>
      <c r="F114" s="5">
        <v>7652</v>
      </c>
      <c r="G114" s="5">
        <v>173</v>
      </c>
      <c r="H114" s="5">
        <v>76</v>
      </c>
      <c r="I114" s="3">
        <v>8110</v>
      </c>
      <c r="J114" s="2" cm="1">
        <f t="array" ref="J114">MarketingTable[[#This Row],[RevenueAttributed]]*_xlfn.SWITCH(MarketingTable[[#This Row],[DataQualityFlag]],"OK",1,"Missing UTMs",0.7,"Suspect attribution",0.4,1)</f>
        <v>8110</v>
      </c>
      <c r="K114" s="2">
        <f>IF(MarketingTable[[#This Row],[Leads]]=0,"",MarketingTable[[#This Row],[Spend]]/MarketingTable[[#This Row],[Leads]])</f>
        <v>3.5794797687861273</v>
      </c>
      <c r="L114" s="4">
        <f>IF(MarketingTable[[#This Row],[Spend]]=0,"",MarketingTable[[#This Row],[RevenueAttributed]]/MarketingTable[[#This Row],[Spend]])</f>
        <v>13.096487686717804</v>
      </c>
      <c r="N114" t="s">
        <v>18</v>
      </c>
      <c r="O114" s="6">
        <f ca="1">MAX(0,TODAY()-(MarketingTable[[#This Row],[WeekStartDate]]+6))</f>
        <v>315</v>
      </c>
    </row>
    <row r="115" spans="1:15">
      <c r="A115" s="1">
        <v>45726</v>
      </c>
      <c r="B115" t="s">
        <v>19</v>
      </c>
      <c r="C115" t="s">
        <v>124</v>
      </c>
      <c r="D115" s="2">
        <v>4479.43</v>
      </c>
      <c r="E115" s="5">
        <v>121845</v>
      </c>
      <c r="F115" s="5">
        <v>1612</v>
      </c>
      <c r="G115" s="5">
        <v>14</v>
      </c>
      <c r="H115" s="5">
        <v>3</v>
      </c>
      <c r="I115" s="3">
        <v>35122</v>
      </c>
      <c r="J115" s="2" cm="1">
        <f t="array" ref="J115">MarketingTable[[#This Row],[RevenueAttributed]]*_xlfn.SWITCH(MarketingTable[[#This Row],[DataQualityFlag]],"OK",1,"Missing UTMs",0.7,"Suspect attribution",0.4,1)</f>
        <v>35122</v>
      </c>
      <c r="K115" s="2">
        <f>IF(MarketingTable[[#This Row],[Leads]]=0,"",MarketingTable[[#This Row],[Spend]]/MarketingTable[[#This Row],[Leads]])</f>
        <v>319.95928571428573</v>
      </c>
      <c r="L115" s="4">
        <f>IF(MarketingTable[[#This Row],[Spend]]=0,"",MarketingTable[[#This Row],[RevenueAttributed]]/MarketingTable[[#This Row],[Spend]])</f>
        <v>7.8407297357029799</v>
      </c>
      <c r="N115" t="s">
        <v>18</v>
      </c>
      <c r="O115" s="6">
        <f ca="1">MAX(0,TODAY()-(MarketingTable[[#This Row],[WeekStartDate]]+6))</f>
        <v>308</v>
      </c>
    </row>
    <row r="116" spans="1:15">
      <c r="A116" s="1">
        <v>45733</v>
      </c>
      <c r="B116" t="s">
        <v>29</v>
      </c>
      <c r="C116" t="s">
        <v>125</v>
      </c>
      <c r="D116" s="2">
        <v>8864.86</v>
      </c>
      <c r="E116" s="5">
        <v>780105</v>
      </c>
      <c r="F116" s="5">
        <v>6545</v>
      </c>
      <c r="G116" s="5">
        <v>66</v>
      </c>
      <c r="H116" s="5">
        <v>29</v>
      </c>
      <c r="I116" s="3">
        <v>27261</v>
      </c>
      <c r="J116" s="2" cm="1">
        <f t="array" ref="J116">MarketingTable[[#This Row],[RevenueAttributed]]*_xlfn.SWITCH(MarketingTable[[#This Row],[DataQualityFlag]],"OK",1,"Missing UTMs",0.7,"Suspect attribution",0.4,1)</f>
        <v>27261</v>
      </c>
      <c r="K116" s="2">
        <f>IF(MarketingTable[[#This Row],[Leads]]=0,"",MarketingTable[[#This Row],[Spend]]/MarketingTable[[#This Row],[Leads]])</f>
        <v>134.3160606060606</v>
      </c>
      <c r="L116" s="4">
        <f>IF(MarketingTable[[#This Row],[Spend]]=0,"",MarketingTable[[#This Row],[RevenueAttributed]]/MarketingTable[[#This Row],[Spend]])</f>
        <v>3.0751754680840979</v>
      </c>
      <c r="N116" t="s">
        <v>18</v>
      </c>
      <c r="O116" s="6">
        <f ca="1">MAX(0,TODAY()-(MarketingTable[[#This Row],[WeekStartDate]]+6))</f>
        <v>301</v>
      </c>
    </row>
    <row r="117" spans="1:15">
      <c r="A117" s="1">
        <v>45740</v>
      </c>
      <c r="B117" t="s">
        <v>15</v>
      </c>
      <c r="C117" t="s">
        <v>126</v>
      </c>
      <c r="D117" s="2">
        <v>7011.6</v>
      </c>
      <c r="E117" s="5">
        <v>484187</v>
      </c>
      <c r="F117" s="5">
        <v>7175</v>
      </c>
      <c r="G117" s="5">
        <v>81</v>
      </c>
      <c r="H117" s="5">
        <v>32</v>
      </c>
      <c r="I117" s="3">
        <v>37749</v>
      </c>
      <c r="J117" s="2" cm="1">
        <f t="array" ref="J117">MarketingTable[[#This Row],[RevenueAttributed]]*_xlfn.SWITCH(MarketingTable[[#This Row],[DataQualityFlag]],"OK",1,"Missing UTMs",0.7,"Suspect attribution",0.4,1)</f>
        <v>37749</v>
      </c>
      <c r="K117" s="2">
        <f>IF(MarketingTable[[#This Row],[Leads]]=0,"",MarketingTable[[#This Row],[Spend]]/MarketingTable[[#This Row],[Leads]])</f>
        <v>86.56296296296297</v>
      </c>
      <c r="L117" s="4">
        <f>IF(MarketingTable[[#This Row],[Spend]]=0,"",MarketingTable[[#This Row],[RevenueAttributed]]/MarketingTable[[#This Row],[Spend]])</f>
        <v>5.383792572308745</v>
      </c>
      <c r="N117" t="s">
        <v>18</v>
      </c>
      <c r="O117" s="6">
        <f ca="1">MAX(0,TODAY()-(MarketingTable[[#This Row],[WeekStartDate]]+6))</f>
        <v>294</v>
      </c>
    </row>
    <row r="118" spans="1:15">
      <c r="A118" s="1">
        <v>45747</v>
      </c>
      <c r="B118" t="s">
        <v>15</v>
      </c>
      <c r="C118" t="s">
        <v>127</v>
      </c>
      <c r="D118" s="2">
        <v>2786.53</v>
      </c>
      <c r="E118" s="5">
        <v>105624</v>
      </c>
      <c r="F118" s="5">
        <v>1093</v>
      </c>
      <c r="G118" s="5">
        <v>10</v>
      </c>
      <c r="H118" s="5">
        <v>3</v>
      </c>
      <c r="I118" s="3">
        <v>10502</v>
      </c>
      <c r="J118" s="2" cm="1">
        <f t="array" ref="J118">MarketingTable[[#This Row],[RevenueAttributed]]*_xlfn.SWITCH(MarketingTable[[#This Row],[DataQualityFlag]],"OK",1,"Missing UTMs",0.7,"Suspect attribution",0.4,1)</f>
        <v>10502</v>
      </c>
      <c r="K118" s="2">
        <f>IF(MarketingTable[[#This Row],[Leads]]=0,"",MarketingTable[[#This Row],[Spend]]/MarketingTable[[#This Row],[Leads]])</f>
        <v>278.65300000000002</v>
      </c>
      <c r="L118" s="4">
        <f>IF(MarketingTable[[#This Row],[Spend]]=0,"",MarketingTable[[#This Row],[RevenueAttributed]]/MarketingTable[[#This Row],[Spend]])</f>
        <v>3.768845122787122</v>
      </c>
      <c r="N118" t="s">
        <v>18</v>
      </c>
      <c r="O118" s="6">
        <f ca="1">MAX(0,TODAY()-(MarketingTable[[#This Row],[WeekStartDate]]+6))</f>
        <v>287</v>
      </c>
    </row>
    <row r="119" spans="1:15">
      <c r="A119" s="1">
        <v>45754</v>
      </c>
      <c r="B119" t="s">
        <v>23</v>
      </c>
      <c r="C119" t="s">
        <v>128</v>
      </c>
      <c r="D119" s="2">
        <v>2491.09</v>
      </c>
      <c r="E119" s="5">
        <v>153926</v>
      </c>
      <c r="F119" s="5">
        <v>7101</v>
      </c>
      <c r="G119" s="5">
        <v>99</v>
      </c>
      <c r="H119" s="5">
        <v>25</v>
      </c>
      <c r="I119" s="3">
        <v>28242</v>
      </c>
      <c r="J119" s="2" cm="1">
        <f t="array" ref="J119">MarketingTable[[#This Row],[RevenueAttributed]]*_xlfn.SWITCH(MarketingTable[[#This Row],[DataQualityFlag]],"OK",1,"Missing UTMs",0.7,"Suspect attribution",0.4,1)</f>
        <v>28242</v>
      </c>
      <c r="K119" s="2">
        <f>IF(MarketingTable[[#This Row],[Leads]]=0,"",MarketingTable[[#This Row],[Spend]]/MarketingTable[[#This Row],[Leads]])</f>
        <v>25.162525252525253</v>
      </c>
      <c r="L119" s="4">
        <f>IF(MarketingTable[[#This Row],[Spend]]=0,"",MarketingTable[[#This Row],[RevenueAttributed]]/MarketingTable[[#This Row],[Spend]])</f>
        <v>11.337205801476461</v>
      </c>
      <c r="N119" t="s">
        <v>18</v>
      </c>
      <c r="O119" s="6">
        <f ca="1">MAX(0,TODAY()-(MarketingTable[[#This Row],[WeekStartDate]]+6))</f>
        <v>280</v>
      </c>
    </row>
    <row r="120" spans="1:15">
      <c r="A120" s="1">
        <v>45761</v>
      </c>
      <c r="B120" t="s">
        <v>19</v>
      </c>
      <c r="C120" t="s">
        <v>129</v>
      </c>
      <c r="D120" s="2">
        <v>5216.38</v>
      </c>
      <c r="E120" s="5">
        <v>135391</v>
      </c>
      <c r="F120" s="5">
        <v>1070</v>
      </c>
      <c r="G120" s="5">
        <v>19</v>
      </c>
      <c r="H120" s="5">
        <v>8</v>
      </c>
      <c r="I120" s="3">
        <v>750734</v>
      </c>
      <c r="J120" s="2" cm="1">
        <f t="array" ref="J120">MarketingTable[[#This Row],[RevenueAttributed]]*_xlfn.SWITCH(MarketingTable[[#This Row],[DataQualityFlag]],"OK",1,"Missing UTMs",0.7,"Suspect attribution",0.4,1)</f>
        <v>300293.60000000003</v>
      </c>
      <c r="K120" s="2">
        <f>IF(MarketingTable[[#This Row],[Leads]]=0,"",MarketingTable[[#This Row],[Spend]]/MarketingTable[[#This Row],[Leads]])</f>
        <v>274.54631578947368</v>
      </c>
      <c r="L120" s="4">
        <f>IF(MarketingTable[[#This Row],[Spend]]=0,"",MarketingTable[[#This Row],[RevenueAttributed]]/MarketingTable[[#This Row],[Spend]])</f>
        <v>143.91857955133636</v>
      </c>
      <c r="M120" t="s">
        <v>48</v>
      </c>
      <c r="N120" t="s">
        <v>49</v>
      </c>
      <c r="O120" s="6">
        <f ca="1">MAX(0,TODAY()-(MarketingTable[[#This Row],[WeekStartDate]]+6))</f>
        <v>273</v>
      </c>
    </row>
    <row r="121" spans="1:15">
      <c r="A121" s="1">
        <v>45775</v>
      </c>
      <c r="B121" t="s">
        <v>42</v>
      </c>
      <c r="C121" t="s">
        <v>130</v>
      </c>
      <c r="D121" s="2">
        <v>1458.85</v>
      </c>
      <c r="E121" s="5">
        <v>459252</v>
      </c>
      <c r="F121" s="5">
        <v>12024</v>
      </c>
      <c r="G121" s="5">
        <v>2</v>
      </c>
      <c r="H121" s="5">
        <v>1</v>
      </c>
      <c r="I121" s="3">
        <v>5390</v>
      </c>
      <c r="J121" s="2" cm="1">
        <f t="array" ref="J121">MarketingTable[[#This Row],[RevenueAttributed]]*_xlfn.SWITCH(MarketingTable[[#This Row],[DataQualityFlag]],"OK",1,"Missing UTMs",0.7,"Suspect attribution",0.4,1)</f>
        <v>5390</v>
      </c>
      <c r="K121" s="2">
        <f>IF(MarketingTable[[#This Row],[Leads]]=0,"",MarketingTable[[#This Row],[Spend]]/MarketingTable[[#This Row],[Leads]])</f>
        <v>729.42499999999995</v>
      </c>
      <c r="L121" s="4">
        <f>IF(MarketingTable[[#This Row],[Spend]]=0,"",MarketingTable[[#This Row],[RevenueAttributed]]/MarketingTable[[#This Row],[Spend]])</f>
        <v>3.6946910237515853</v>
      </c>
      <c r="M121" t="s">
        <v>17</v>
      </c>
      <c r="N121" t="s">
        <v>18</v>
      </c>
      <c r="O121" s="6">
        <f ca="1">MAX(0,TODAY()-(MarketingTable[[#This Row],[WeekStartDate]]+6))</f>
        <v>259</v>
      </c>
    </row>
    <row r="122" spans="1:15">
      <c r="A122" s="1">
        <v>45775</v>
      </c>
      <c r="B122" t="s">
        <v>23</v>
      </c>
      <c r="C122" t="s">
        <v>86</v>
      </c>
      <c r="D122" s="2">
        <v>10881.35</v>
      </c>
      <c r="E122" s="5">
        <v>552108</v>
      </c>
      <c r="F122" s="5">
        <v>23560</v>
      </c>
      <c r="G122" s="5">
        <v>644</v>
      </c>
      <c r="H122" s="5">
        <v>226</v>
      </c>
      <c r="I122" s="3">
        <v>46862</v>
      </c>
      <c r="J122" s="2" cm="1">
        <f t="array" ref="J122">MarketingTable[[#This Row],[RevenueAttributed]]*_xlfn.SWITCH(MarketingTable[[#This Row],[DataQualityFlag]],"OK",1,"Missing UTMs",0.7,"Suspect attribution",0.4,1)</f>
        <v>46862</v>
      </c>
      <c r="K122" s="2">
        <f>IF(MarketingTable[[#This Row],[Leads]]=0,"",MarketingTable[[#This Row],[Spend]]/MarketingTable[[#This Row],[Leads]])</f>
        <v>16.896506211180125</v>
      </c>
      <c r="L122" s="4">
        <f>IF(MarketingTable[[#This Row],[Spend]]=0,"",MarketingTable[[#This Row],[RevenueAttributed]]/MarketingTable[[#This Row],[Spend]])</f>
        <v>4.3066347466077275</v>
      </c>
      <c r="N122" t="s">
        <v>18</v>
      </c>
      <c r="O122" s="6">
        <f ca="1">MAX(0,TODAY()-(MarketingTable[[#This Row],[WeekStartDate]]+6))</f>
        <v>259</v>
      </c>
    </row>
    <row r="123" spans="1:15">
      <c r="A123" s="1">
        <v>45782</v>
      </c>
      <c r="B123" t="s">
        <v>15</v>
      </c>
      <c r="C123" t="s">
        <v>40</v>
      </c>
      <c r="D123" s="2">
        <v>1703.04</v>
      </c>
      <c r="E123" s="5">
        <v>77412</v>
      </c>
      <c r="F123" s="5">
        <v>554</v>
      </c>
      <c r="G123" s="5">
        <v>9</v>
      </c>
      <c r="H123" s="5">
        <v>4</v>
      </c>
      <c r="I123" s="3">
        <v>15266</v>
      </c>
      <c r="J123" s="2" cm="1">
        <f t="array" ref="J123">MarketingTable[[#This Row],[RevenueAttributed]]*_xlfn.SWITCH(MarketingTable[[#This Row],[DataQualityFlag]],"OK",1,"Missing UTMs",0.7,"Suspect attribution",0.4,1)</f>
        <v>15266</v>
      </c>
      <c r="K123" s="2">
        <f>IF(MarketingTable[[#This Row],[Leads]]=0,"",MarketingTable[[#This Row],[Spend]]/MarketingTable[[#This Row],[Leads]])</f>
        <v>189.22666666666666</v>
      </c>
      <c r="L123" s="4">
        <f>IF(MarketingTable[[#This Row],[Spend]]=0,"",MarketingTable[[#This Row],[RevenueAttributed]]/MarketingTable[[#This Row],[Spend]])</f>
        <v>8.9639703119128153</v>
      </c>
      <c r="N123" t="s">
        <v>18</v>
      </c>
      <c r="O123" s="6">
        <f ca="1">MAX(0,TODAY()-(MarketingTable[[#This Row],[WeekStartDate]]+6))</f>
        <v>252</v>
      </c>
    </row>
    <row r="124" spans="1:15">
      <c r="A124" s="1">
        <v>45789</v>
      </c>
      <c r="B124" t="s">
        <v>42</v>
      </c>
      <c r="C124" t="s">
        <v>131</v>
      </c>
      <c r="D124" s="2">
        <v>887.4</v>
      </c>
      <c r="E124" s="5">
        <v>203343</v>
      </c>
      <c r="F124" s="5">
        <v>6215</v>
      </c>
      <c r="G124" s="5">
        <v>154</v>
      </c>
      <c r="H124" s="5">
        <v>51</v>
      </c>
      <c r="I124" s="3">
        <v>11169</v>
      </c>
      <c r="J124" s="2" cm="1">
        <f t="array" ref="J124">MarketingTable[[#This Row],[RevenueAttributed]]*_xlfn.SWITCH(MarketingTable[[#This Row],[DataQualityFlag]],"OK",1,"Missing UTMs",0.7,"Suspect attribution",0.4,1)</f>
        <v>11169</v>
      </c>
      <c r="K124" s="2">
        <f>IF(MarketingTable[[#This Row],[Leads]]=0,"",MarketingTable[[#This Row],[Spend]]/MarketingTable[[#This Row],[Leads]])</f>
        <v>5.7623376623376625</v>
      </c>
      <c r="L124" s="4">
        <f>IF(MarketingTable[[#This Row],[Spend]]=0,"",MarketingTable[[#This Row],[RevenueAttributed]]/MarketingTable[[#This Row],[Spend]])</f>
        <v>12.586206896551724</v>
      </c>
      <c r="N124" t="s">
        <v>18</v>
      </c>
      <c r="O124" s="6">
        <f ca="1">MAX(0,TODAY()-(MarketingTable[[#This Row],[WeekStartDate]]+6))</f>
        <v>245</v>
      </c>
    </row>
    <row r="125" spans="1:15">
      <c r="A125" s="1">
        <v>45796</v>
      </c>
      <c r="B125" t="s">
        <v>15</v>
      </c>
      <c r="C125" t="s">
        <v>132</v>
      </c>
      <c r="D125" s="2">
        <v>3730.52</v>
      </c>
      <c r="E125" s="5">
        <v>265848</v>
      </c>
      <c r="F125" s="5">
        <v>5448</v>
      </c>
      <c r="G125" s="5">
        <v>56</v>
      </c>
      <c r="H125" s="5">
        <v>14</v>
      </c>
      <c r="I125" s="3">
        <v>20654</v>
      </c>
      <c r="J125" s="2" cm="1">
        <f t="array" ref="J125">MarketingTable[[#This Row],[RevenueAttributed]]*_xlfn.SWITCH(MarketingTable[[#This Row],[DataQualityFlag]],"OK",1,"Missing UTMs",0.7,"Suspect attribution",0.4,1)</f>
        <v>20654</v>
      </c>
      <c r="K125" s="2">
        <f>IF(MarketingTable[[#This Row],[Leads]]=0,"",MarketingTable[[#This Row],[Spend]]/MarketingTable[[#This Row],[Leads]])</f>
        <v>66.616428571428571</v>
      </c>
      <c r="L125" s="4">
        <f>IF(MarketingTable[[#This Row],[Spend]]=0,"",MarketingTable[[#This Row],[RevenueAttributed]]/MarketingTable[[#This Row],[Spend]])</f>
        <v>5.5364935719417137</v>
      </c>
      <c r="N125" t="s">
        <v>18</v>
      </c>
      <c r="O125" s="6">
        <f ca="1">MAX(0,TODAY()-(MarketingTable[[#This Row],[WeekStartDate]]+6))</f>
        <v>238</v>
      </c>
    </row>
    <row r="126" spans="1:15">
      <c r="A126" s="1">
        <v>45817</v>
      </c>
      <c r="B126" t="s">
        <v>25</v>
      </c>
      <c r="C126" t="s">
        <v>133</v>
      </c>
      <c r="D126" s="2">
        <v>1845.31</v>
      </c>
      <c r="E126" s="5">
        <v>978732</v>
      </c>
      <c r="F126" s="5">
        <v>32507</v>
      </c>
      <c r="G126" s="5">
        <v>824</v>
      </c>
      <c r="H126" s="5">
        <v>315</v>
      </c>
      <c r="I126" s="3">
        <v>18581</v>
      </c>
      <c r="J126" s="2" cm="1">
        <f t="array" ref="J126">MarketingTable[[#This Row],[RevenueAttributed]]*_xlfn.SWITCH(MarketingTable[[#This Row],[DataQualityFlag]],"OK",1,"Missing UTMs",0.7,"Suspect attribution",0.4,1)</f>
        <v>18581</v>
      </c>
      <c r="K126" s="2">
        <f>IF(MarketingTable[[#This Row],[Leads]]=0,"",MarketingTable[[#This Row],[Spend]]/MarketingTable[[#This Row],[Leads]])</f>
        <v>2.2394538834951456</v>
      </c>
      <c r="L126" s="4">
        <f>IF(MarketingTable[[#This Row],[Spend]]=0,"",MarketingTable[[#This Row],[RevenueAttributed]]/MarketingTable[[#This Row],[Spend]])</f>
        <v>10.069310847499878</v>
      </c>
      <c r="N126" t="s">
        <v>18</v>
      </c>
      <c r="O126" s="6">
        <f ca="1">MAX(0,TODAY()-(MarketingTable[[#This Row],[WeekStartDate]]+6))</f>
        <v>217</v>
      </c>
    </row>
    <row r="127" spans="1:15">
      <c r="A127" s="1">
        <v>45810</v>
      </c>
      <c r="B127" t="s">
        <v>42</v>
      </c>
      <c r="C127" t="s">
        <v>94</v>
      </c>
      <c r="D127" s="2">
        <v>3008.3</v>
      </c>
      <c r="E127" s="5">
        <v>558780</v>
      </c>
      <c r="F127" s="5">
        <v>20799</v>
      </c>
      <c r="G127" s="5">
        <v>2</v>
      </c>
      <c r="H127" s="5">
        <v>0</v>
      </c>
      <c r="I127" s="3">
        <v>4168</v>
      </c>
      <c r="J127" s="2" cm="1">
        <f t="array" ref="J127">MarketingTable[[#This Row],[RevenueAttributed]]*_xlfn.SWITCH(MarketingTable[[#This Row],[DataQualityFlag]],"OK",1,"Missing UTMs",0.7,"Suspect attribution",0.4,1)</f>
        <v>4168</v>
      </c>
      <c r="K127" s="2">
        <f>IF(MarketingTable[[#This Row],[Leads]]=0,"",MarketingTable[[#This Row],[Spend]]/MarketingTable[[#This Row],[Leads]])</f>
        <v>1504.15</v>
      </c>
      <c r="L127" s="4">
        <f>IF(MarketingTable[[#This Row],[Spend]]=0,"",MarketingTable[[#This Row],[RevenueAttributed]]/MarketingTable[[#This Row],[Spend]])</f>
        <v>1.3855001163447793</v>
      </c>
      <c r="M127" t="s">
        <v>17</v>
      </c>
      <c r="N127" t="s">
        <v>18</v>
      </c>
      <c r="O127" s="6">
        <f ca="1">MAX(0,TODAY()-(MarketingTable[[#This Row],[WeekStartDate]]+6))</f>
        <v>224</v>
      </c>
    </row>
    <row r="128" spans="1:15">
      <c r="A128" s="1">
        <v>45817</v>
      </c>
      <c r="B128" t="s">
        <v>19</v>
      </c>
      <c r="C128" t="s">
        <v>134</v>
      </c>
      <c r="D128" s="2">
        <v>9569.27</v>
      </c>
      <c r="E128" s="5">
        <v>299720</v>
      </c>
      <c r="F128" s="5">
        <v>1870</v>
      </c>
      <c r="G128" s="5">
        <v>46</v>
      </c>
      <c r="H128" s="5">
        <v>18</v>
      </c>
      <c r="I128" s="3">
        <v>57921</v>
      </c>
      <c r="J128" s="2" cm="1">
        <f t="array" ref="J128">MarketingTable[[#This Row],[RevenueAttributed]]*_xlfn.SWITCH(MarketingTable[[#This Row],[DataQualityFlag]],"OK",1,"Missing UTMs",0.7,"Suspect attribution",0.4,1)</f>
        <v>57921</v>
      </c>
      <c r="K128" s="2">
        <f>IF(MarketingTable[[#This Row],[Leads]]=0,"",MarketingTable[[#This Row],[Spend]]/MarketingTable[[#This Row],[Leads]])</f>
        <v>208.02760869565219</v>
      </c>
      <c r="L128" s="4">
        <f>IF(MarketingTable[[#This Row],[Spend]]=0,"",MarketingTable[[#This Row],[RevenueAttributed]]/MarketingTable[[#This Row],[Spend]])</f>
        <v>6.0528128059925157</v>
      </c>
      <c r="N128" t="s">
        <v>18</v>
      </c>
      <c r="O128" s="6">
        <f ca="1">MAX(0,TODAY()-(MarketingTable[[#This Row],[WeekStartDate]]+6))</f>
        <v>217</v>
      </c>
    </row>
    <row r="129" spans="1:15">
      <c r="A129" s="1">
        <v>45824</v>
      </c>
      <c r="B129" t="s">
        <v>19</v>
      </c>
      <c r="C129" t="s">
        <v>135</v>
      </c>
      <c r="D129" s="2">
        <v>3033.7</v>
      </c>
      <c r="E129" s="5">
        <v>113208</v>
      </c>
      <c r="F129" s="5">
        <v>1210</v>
      </c>
      <c r="G129" s="5">
        <v>21</v>
      </c>
      <c r="H129" s="5">
        <v>9</v>
      </c>
      <c r="I129" s="3">
        <v>24248</v>
      </c>
      <c r="J129" s="2" cm="1">
        <f t="array" ref="J129">MarketingTable[[#This Row],[RevenueAttributed]]*_xlfn.SWITCH(MarketingTable[[#This Row],[DataQualityFlag]],"OK",1,"Missing UTMs",0.7,"Suspect attribution",0.4,1)</f>
        <v>24248</v>
      </c>
      <c r="K129" s="2">
        <f>IF(MarketingTable[[#This Row],[Leads]]=0,"",MarketingTable[[#This Row],[Spend]]/MarketingTable[[#This Row],[Leads]])</f>
        <v>144.46190476190475</v>
      </c>
      <c r="L129" s="4">
        <f>IF(MarketingTable[[#This Row],[Spend]]=0,"",MarketingTable[[#This Row],[RevenueAttributed]]/MarketingTable[[#This Row],[Spend]])</f>
        <v>7.9928799815406935</v>
      </c>
      <c r="N129" t="s">
        <v>18</v>
      </c>
      <c r="O129" s="6">
        <f ca="1">MAX(0,TODAY()-(MarketingTable[[#This Row],[WeekStartDate]]+6))</f>
        <v>210</v>
      </c>
    </row>
    <row r="130" spans="1:15">
      <c r="A130" s="1">
        <v>45831</v>
      </c>
      <c r="B130" t="s">
        <v>29</v>
      </c>
      <c r="C130" t="s">
        <v>136</v>
      </c>
      <c r="D130" s="2">
        <v>3162.01</v>
      </c>
      <c r="E130" s="5">
        <v>347888</v>
      </c>
      <c r="F130" s="5">
        <v>2663</v>
      </c>
      <c r="G130" s="5">
        <v>15</v>
      </c>
      <c r="H130" s="5">
        <v>5</v>
      </c>
      <c r="I130" s="3">
        <v>14712</v>
      </c>
      <c r="J130" s="2" cm="1">
        <f t="array" ref="J130">MarketingTable[[#This Row],[RevenueAttributed]]*_xlfn.SWITCH(MarketingTable[[#This Row],[DataQualityFlag]],"OK",1,"Missing UTMs",0.7,"Suspect attribution",0.4,1)</f>
        <v>14712</v>
      </c>
      <c r="K130" s="2">
        <f>IF(MarketingTable[[#This Row],[Leads]]=0,"",MarketingTable[[#This Row],[Spend]]/MarketingTable[[#This Row],[Leads]])</f>
        <v>210.80066666666667</v>
      </c>
      <c r="L130" s="4">
        <f>IF(MarketingTable[[#This Row],[Spend]]=0,"",MarketingTable[[#This Row],[RevenueAttributed]]/MarketingTable[[#This Row],[Spend]])</f>
        <v>4.6527367086125597</v>
      </c>
      <c r="N130" t="s">
        <v>18</v>
      </c>
      <c r="O130" s="6">
        <f ca="1">MAX(0,TODAY()-(MarketingTable[[#This Row],[WeekStartDate]]+6))</f>
        <v>203</v>
      </c>
    </row>
    <row r="131" spans="1:15">
      <c r="A131" s="1">
        <v>45845</v>
      </c>
      <c r="B131" t="s">
        <v>25</v>
      </c>
      <c r="C131" t="s">
        <v>123</v>
      </c>
      <c r="D131" s="2">
        <v>0</v>
      </c>
      <c r="E131" s="5">
        <v>91992</v>
      </c>
      <c r="F131" s="5">
        <v>3017</v>
      </c>
      <c r="G131" s="5">
        <v>55</v>
      </c>
      <c r="H131" s="5">
        <v>17</v>
      </c>
      <c r="I131" s="3">
        <v>4735</v>
      </c>
      <c r="J131" s="2" cm="1">
        <f t="array" ref="J131">MarketingTable[[#This Row],[RevenueAttributed]]*_xlfn.SWITCH(MarketingTable[[#This Row],[DataQualityFlag]],"OK",1,"Missing UTMs",0.7,"Suspect attribution",0.4,1)</f>
        <v>4735</v>
      </c>
      <c r="K131" s="2">
        <f>IF(MarketingTable[[#This Row],[Leads]]=0,"",MarketingTable[[#This Row],[Spend]]/MarketingTable[[#This Row],[Leads]])</f>
        <v>0</v>
      </c>
      <c r="L131" s="4" t="str">
        <f>IF(MarketingTable[[#This Row],[Spend]]=0,"",MarketingTable[[#This Row],[RevenueAttributed]]/MarketingTable[[#This Row],[Spend]])</f>
        <v/>
      </c>
      <c r="M131" t="s">
        <v>77</v>
      </c>
      <c r="N131" t="s">
        <v>18</v>
      </c>
      <c r="O131" s="6">
        <f ca="1">MAX(0,TODAY()-(MarketingTable[[#This Row],[WeekStartDate]]+6))</f>
        <v>189</v>
      </c>
    </row>
    <row r="132" spans="1:15">
      <c r="A132" s="1">
        <v>45845</v>
      </c>
      <c r="B132" t="s">
        <v>23</v>
      </c>
      <c r="C132" t="s">
        <v>137</v>
      </c>
      <c r="D132" s="2">
        <v>11209.17</v>
      </c>
      <c r="E132" s="5">
        <v>720995</v>
      </c>
      <c r="F132" s="5">
        <v>27120</v>
      </c>
      <c r="G132" s="5">
        <v>413</v>
      </c>
      <c r="H132" s="5">
        <v>103</v>
      </c>
      <c r="I132" s="3">
        <v>25061</v>
      </c>
      <c r="J132" s="2" cm="1">
        <f t="array" ref="J132">MarketingTable[[#This Row],[RevenueAttributed]]*_xlfn.SWITCH(MarketingTable[[#This Row],[DataQualityFlag]],"OK",1,"Missing UTMs",0.7,"Suspect attribution",0.4,1)</f>
        <v>25061</v>
      </c>
      <c r="K132" s="2">
        <f>IF(MarketingTable[[#This Row],[Leads]]=0,"",MarketingTable[[#This Row],[Spend]]/MarketingTable[[#This Row],[Leads]])</f>
        <v>27.140847457627117</v>
      </c>
      <c r="L132" s="4">
        <f>IF(MarketingTable[[#This Row],[Spend]]=0,"",MarketingTable[[#This Row],[RevenueAttributed]]/MarketingTable[[#This Row],[Spend]])</f>
        <v>2.2357587582309839</v>
      </c>
      <c r="N132" t="s">
        <v>18</v>
      </c>
      <c r="O132" s="6">
        <f ca="1">MAX(0,TODAY()-(MarketingTable[[#This Row],[WeekStartDate]]+6))</f>
        <v>189</v>
      </c>
    </row>
    <row r="133" spans="1:15">
      <c r="A133" s="1">
        <v>45852</v>
      </c>
      <c r="B133" t="s">
        <v>23</v>
      </c>
      <c r="C133" t="s">
        <v>138</v>
      </c>
      <c r="D133" s="2">
        <v>10355.049999999999</v>
      </c>
      <c r="E133" s="5">
        <v>698895</v>
      </c>
      <c r="F133" s="5">
        <v>15201</v>
      </c>
      <c r="G133" s="5">
        <v>312</v>
      </c>
      <c r="H133" s="5">
        <v>98</v>
      </c>
      <c r="I133" s="3">
        <v>74210</v>
      </c>
      <c r="J133" s="2" cm="1">
        <f t="array" ref="J133">MarketingTable[[#This Row],[RevenueAttributed]]*_xlfn.SWITCH(MarketingTable[[#This Row],[DataQualityFlag]],"OK",1,"Missing UTMs",0.7,"Suspect attribution",0.4,1)</f>
        <v>74210</v>
      </c>
      <c r="K133" s="2">
        <f>IF(MarketingTable[[#This Row],[Leads]]=0,"",MarketingTable[[#This Row],[Spend]]/MarketingTable[[#This Row],[Leads]])</f>
        <v>33.189262820512816</v>
      </c>
      <c r="L133" s="4">
        <f>IF(MarketingTable[[#This Row],[Spend]]=0,"",MarketingTable[[#This Row],[RevenueAttributed]]/MarketingTable[[#This Row],[Spend]])</f>
        <v>7.1665515859411597</v>
      </c>
      <c r="N133" t="s">
        <v>18</v>
      </c>
      <c r="O133" s="6">
        <f ca="1">MAX(0,TODAY()-(MarketingTable[[#This Row],[WeekStartDate]]+6))</f>
        <v>182</v>
      </c>
    </row>
    <row r="134" spans="1:15">
      <c r="A134" s="1">
        <v>45859</v>
      </c>
      <c r="B134" t="s">
        <v>23</v>
      </c>
      <c r="C134" t="s">
        <v>139</v>
      </c>
      <c r="D134" s="2">
        <v>9892.25</v>
      </c>
      <c r="E134" s="5">
        <v>723758</v>
      </c>
      <c r="F134" s="5">
        <v>18414</v>
      </c>
      <c r="G134" s="5">
        <v>366</v>
      </c>
      <c r="H134" s="5">
        <v>140</v>
      </c>
      <c r="I134" s="3">
        <v>61557</v>
      </c>
      <c r="J134" s="2" cm="1">
        <f t="array" ref="J134">MarketingTable[[#This Row],[RevenueAttributed]]*_xlfn.SWITCH(MarketingTable[[#This Row],[DataQualityFlag]],"OK",1,"Missing UTMs",0.7,"Suspect attribution",0.4,1)</f>
        <v>61557</v>
      </c>
      <c r="K134" s="2">
        <f>IF(MarketingTable[[#This Row],[Leads]]=0,"",MarketingTable[[#This Row],[Spend]]/MarketingTable[[#This Row],[Leads]])</f>
        <v>27.028005464480874</v>
      </c>
      <c r="L134" s="4">
        <f>IF(MarketingTable[[#This Row],[Spend]]=0,"",MarketingTable[[#This Row],[RevenueAttributed]]/MarketingTable[[#This Row],[Spend]])</f>
        <v>6.2227501326796233</v>
      </c>
      <c r="N134" t="s">
        <v>18</v>
      </c>
      <c r="O134" s="6">
        <f ca="1">MAX(0,TODAY()-(MarketingTable[[#This Row],[WeekStartDate]]+6))</f>
        <v>175</v>
      </c>
    </row>
    <row r="135" spans="1:15">
      <c r="A135" s="1">
        <v>45866</v>
      </c>
      <c r="B135" t="s">
        <v>23</v>
      </c>
      <c r="C135" t="s">
        <v>140</v>
      </c>
      <c r="D135" s="2">
        <v>5831.78</v>
      </c>
      <c r="E135" s="5">
        <v>515480</v>
      </c>
      <c r="F135" s="5">
        <v>14438</v>
      </c>
      <c r="G135" s="5">
        <v>404</v>
      </c>
      <c r="H135" s="5">
        <v>166</v>
      </c>
      <c r="I135" s="3">
        <v>41170</v>
      </c>
      <c r="J135" s="2" cm="1">
        <f t="array" ref="J135">MarketingTable[[#This Row],[RevenueAttributed]]*_xlfn.SWITCH(MarketingTable[[#This Row],[DataQualityFlag]],"OK",1,"Missing UTMs",0.7,"Suspect attribution",0.4,1)</f>
        <v>41170</v>
      </c>
      <c r="K135" s="2">
        <f>IF(MarketingTable[[#This Row],[Leads]]=0,"",MarketingTable[[#This Row],[Spend]]/MarketingTable[[#This Row],[Leads]])</f>
        <v>14.435099009900989</v>
      </c>
      <c r="L135" s="4">
        <f>IF(MarketingTable[[#This Row],[Spend]]=0,"",MarketingTable[[#This Row],[RevenueAttributed]]/MarketingTable[[#This Row],[Spend]])</f>
        <v>7.0595941547863603</v>
      </c>
      <c r="N135" t="s">
        <v>18</v>
      </c>
      <c r="O135" s="6">
        <f ca="1">MAX(0,TODAY()-(MarketingTable[[#This Row],[WeekStartDate]]+6))</f>
        <v>168</v>
      </c>
    </row>
    <row r="136" spans="1:15">
      <c r="A136" s="1">
        <v>45873</v>
      </c>
      <c r="B136" t="s">
        <v>19</v>
      </c>
      <c r="C136" t="s">
        <v>141</v>
      </c>
      <c r="D136" s="2">
        <v>11039.89</v>
      </c>
      <c r="E136" s="5">
        <v>331430</v>
      </c>
      <c r="F136" s="5">
        <v>1764</v>
      </c>
      <c r="G136" s="5">
        <v>25</v>
      </c>
      <c r="H136" s="5">
        <v>7</v>
      </c>
      <c r="I136" s="3">
        <v>34223</v>
      </c>
      <c r="J136" s="2" cm="1">
        <f t="array" ref="J136">MarketingTable[[#This Row],[RevenueAttributed]]*_xlfn.SWITCH(MarketingTable[[#This Row],[DataQualityFlag]],"OK",1,"Missing UTMs",0.7,"Suspect attribution",0.4,1)</f>
        <v>34223</v>
      </c>
      <c r="K136" s="2">
        <f>IF(MarketingTable[[#This Row],[Leads]]=0,"",MarketingTable[[#This Row],[Spend]]/MarketingTable[[#This Row],[Leads]])</f>
        <v>441.59559999999999</v>
      </c>
      <c r="L136" s="4">
        <f>IF(MarketingTable[[#This Row],[Spend]]=0,"",MarketingTable[[#This Row],[RevenueAttributed]]/MarketingTable[[#This Row],[Spend]])</f>
        <v>3.0999403073762513</v>
      </c>
      <c r="N136" t="s">
        <v>18</v>
      </c>
      <c r="O136" s="6">
        <f ca="1">MAX(0,TODAY()-(MarketingTable[[#This Row],[WeekStartDate]]+6))</f>
        <v>161</v>
      </c>
    </row>
    <row r="137" spans="1:15">
      <c r="A137" s="1">
        <v>45880</v>
      </c>
      <c r="B137" t="s">
        <v>42</v>
      </c>
      <c r="C137" t="s">
        <v>142</v>
      </c>
      <c r="D137" s="2">
        <v>1541.53</v>
      </c>
      <c r="E137" s="5">
        <v>451167</v>
      </c>
      <c r="F137" s="5">
        <v>20290</v>
      </c>
      <c r="G137" s="5">
        <v>1055</v>
      </c>
      <c r="H137" s="5">
        <v>240</v>
      </c>
      <c r="I137" s="3">
        <v>5835</v>
      </c>
      <c r="J137" s="2" cm="1">
        <f t="array" ref="J137">MarketingTable[[#This Row],[RevenueAttributed]]*_xlfn.SWITCH(MarketingTable[[#This Row],[DataQualityFlag]],"OK",1,"Missing UTMs",0.7,"Suspect attribution",0.4,1)</f>
        <v>5835</v>
      </c>
      <c r="K137" s="2">
        <f>IF(MarketingTable[[#This Row],[Leads]]=0,"",MarketingTable[[#This Row],[Spend]]/MarketingTable[[#This Row],[Leads]])</f>
        <v>1.4611658767772511</v>
      </c>
      <c r="L137" s="4">
        <f>IF(MarketingTable[[#This Row],[Spend]]=0,"",MarketingTable[[#This Row],[RevenueAttributed]]/MarketingTable[[#This Row],[Spend]])</f>
        <v>3.7852004177667644</v>
      </c>
      <c r="N137" t="s">
        <v>18</v>
      </c>
      <c r="O137" s="6">
        <f ca="1">MAX(0,TODAY()-(MarketingTable[[#This Row],[WeekStartDate]]+6))</f>
        <v>154</v>
      </c>
    </row>
    <row r="138" spans="1:15">
      <c r="A138" s="1">
        <v>45887</v>
      </c>
      <c r="B138" t="s">
        <v>15</v>
      </c>
      <c r="C138" t="s">
        <v>143</v>
      </c>
      <c r="D138" s="2">
        <v>2924.81</v>
      </c>
      <c r="E138" s="5">
        <v>137678</v>
      </c>
      <c r="F138" s="5">
        <v>1250</v>
      </c>
      <c r="G138" s="5">
        <v>34</v>
      </c>
      <c r="H138" s="5">
        <v>14</v>
      </c>
      <c r="I138" s="3">
        <v>324714</v>
      </c>
      <c r="J138" s="2" cm="1">
        <f t="array" ref="J138">MarketingTable[[#This Row],[RevenueAttributed]]*_xlfn.SWITCH(MarketingTable[[#This Row],[DataQualityFlag]],"OK",1,"Missing UTMs",0.7,"Suspect attribution",0.4,1)</f>
        <v>129885.6</v>
      </c>
      <c r="K138" s="2">
        <f>IF(MarketingTable[[#This Row],[Leads]]=0,"",MarketingTable[[#This Row],[Spend]]/MarketingTable[[#This Row],[Leads]])</f>
        <v>86.023823529411757</v>
      </c>
      <c r="L138" s="4">
        <f>IF(MarketingTable[[#This Row],[Spend]]=0,"",MarketingTable[[#This Row],[RevenueAttributed]]/MarketingTable[[#This Row],[Spend]])</f>
        <v>111.02054492428569</v>
      </c>
      <c r="M138" t="s">
        <v>48</v>
      </c>
      <c r="N138" t="s">
        <v>49</v>
      </c>
      <c r="O138" s="6">
        <f ca="1">MAX(0,TODAY()-(MarketingTable[[#This Row],[WeekStartDate]]+6))</f>
        <v>147</v>
      </c>
    </row>
    <row r="139" spans="1:15">
      <c r="A139" s="1">
        <v>45894</v>
      </c>
      <c r="B139" t="s">
        <v>15</v>
      </c>
      <c r="C139" t="s">
        <v>144</v>
      </c>
      <c r="D139" s="2">
        <v>4436.78</v>
      </c>
      <c r="E139" s="5">
        <v>169419</v>
      </c>
      <c r="F139" s="5">
        <v>3638</v>
      </c>
      <c r="G139" s="5">
        <v>75</v>
      </c>
      <c r="H139" s="5">
        <v>32</v>
      </c>
      <c r="I139" s="3">
        <v>40236</v>
      </c>
      <c r="J139" s="2" cm="1">
        <f t="array" ref="J139">MarketingTable[[#This Row],[RevenueAttributed]]*_xlfn.SWITCH(MarketingTable[[#This Row],[DataQualityFlag]],"OK",1,"Missing UTMs",0.7,"Suspect attribution",0.4,1)</f>
        <v>40236</v>
      </c>
      <c r="K139" s="2">
        <f>IF(MarketingTable[[#This Row],[Leads]]=0,"",MarketingTable[[#This Row],[Spend]]/MarketingTable[[#This Row],[Leads]])</f>
        <v>59.157066666666665</v>
      </c>
      <c r="L139" s="4">
        <f>IF(MarketingTable[[#This Row],[Spend]]=0,"",MarketingTable[[#This Row],[RevenueAttributed]]/MarketingTable[[#This Row],[Spend]])</f>
        <v>9.0687390404753003</v>
      </c>
      <c r="N139" t="s">
        <v>18</v>
      </c>
      <c r="O139" s="6">
        <f ca="1">MAX(0,TODAY()-(MarketingTable[[#This Row],[WeekStartDate]]+6))</f>
        <v>140</v>
      </c>
    </row>
    <row r="140" spans="1:15">
      <c r="A140" s="1">
        <v>45901</v>
      </c>
      <c r="B140" t="s">
        <v>42</v>
      </c>
      <c r="C140" t="s">
        <v>79</v>
      </c>
      <c r="D140" s="2">
        <v>1448.35</v>
      </c>
      <c r="E140" s="5">
        <v>476864</v>
      </c>
      <c r="F140" s="5">
        <v>24228</v>
      </c>
      <c r="G140" s="5">
        <v>1624</v>
      </c>
      <c r="H140" s="5">
        <v>297</v>
      </c>
      <c r="I140" s="3">
        <v>8035</v>
      </c>
      <c r="J140" s="2" cm="1">
        <f t="array" ref="J140">MarketingTable[[#This Row],[RevenueAttributed]]*_xlfn.SWITCH(MarketingTable[[#This Row],[DataQualityFlag]],"OK",1,"Missing UTMs",0.7,"Suspect attribution",0.4,1)</f>
        <v>8035</v>
      </c>
      <c r="K140" s="2">
        <f>IF(MarketingTable[[#This Row],[Leads]]=0,"",MarketingTable[[#This Row],[Spend]]/MarketingTable[[#This Row],[Leads]])</f>
        <v>0.89184113300492607</v>
      </c>
      <c r="L140" s="4">
        <f>IF(MarketingTable[[#This Row],[Spend]]=0,"",MarketingTable[[#This Row],[RevenueAttributed]]/MarketingTable[[#This Row],[Spend]])</f>
        <v>5.5476922014706398</v>
      </c>
      <c r="N140" t="s">
        <v>18</v>
      </c>
      <c r="O140" s="6">
        <f ca="1">MAX(0,TODAY()-(MarketingTable[[#This Row],[WeekStartDate]]+6))</f>
        <v>133</v>
      </c>
    </row>
    <row r="141" spans="1:15">
      <c r="A141" s="1">
        <v>45915</v>
      </c>
      <c r="B141" t="s">
        <v>25</v>
      </c>
      <c r="C141" t="s">
        <v>145</v>
      </c>
      <c r="D141" s="2">
        <v>2009.69</v>
      </c>
      <c r="E141" s="5">
        <v>547007</v>
      </c>
      <c r="F141" s="5">
        <v>25041</v>
      </c>
      <c r="G141" s="5">
        <v>205</v>
      </c>
      <c r="H141" s="5">
        <v>74</v>
      </c>
      <c r="I141" s="3">
        <v>2551</v>
      </c>
      <c r="J141" s="2" cm="1">
        <f t="array" ref="J141">MarketingTable[[#This Row],[RevenueAttributed]]*_xlfn.SWITCH(MarketingTable[[#This Row],[DataQualityFlag]],"OK",1,"Missing UTMs",0.7,"Suspect attribution",0.4,1)</f>
        <v>1785.6999999999998</v>
      </c>
      <c r="K141" s="2">
        <f>IF(MarketingTable[[#This Row],[Leads]]=0,"",MarketingTable[[#This Row],[Spend]]/MarketingTable[[#This Row],[Leads]])</f>
        <v>9.8033658536585371</v>
      </c>
      <c r="L141" s="4">
        <f>IF(MarketingTable[[#This Row],[Spend]]=0,"",MarketingTable[[#This Row],[RevenueAttributed]]/MarketingTable[[#This Row],[Spend]])</f>
        <v>1.2693499992536161</v>
      </c>
      <c r="M141" t="s">
        <v>27</v>
      </c>
      <c r="N141" t="s">
        <v>28</v>
      </c>
      <c r="O141" s="6">
        <f ca="1">MAX(0,TODAY()-(MarketingTable[[#This Row],[WeekStartDate]]+6))</f>
        <v>119</v>
      </c>
    </row>
    <row r="142" spans="1:15">
      <c r="A142" s="1">
        <v>45915</v>
      </c>
      <c r="B142" t="s">
        <v>15</v>
      </c>
      <c r="C142" t="s">
        <v>146</v>
      </c>
      <c r="D142" s="2">
        <v>3692.56</v>
      </c>
      <c r="E142" s="5">
        <v>172490</v>
      </c>
      <c r="F142" s="5">
        <v>1714</v>
      </c>
      <c r="G142" s="5">
        <v>40</v>
      </c>
      <c r="H142" s="5">
        <v>13</v>
      </c>
      <c r="I142" s="3">
        <v>19446</v>
      </c>
      <c r="J142" s="2" cm="1">
        <f t="array" ref="J142">MarketingTable[[#This Row],[RevenueAttributed]]*_xlfn.SWITCH(MarketingTable[[#This Row],[DataQualityFlag]],"OK",1,"Missing UTMs",0.7,"Suspect attribution",0.4,1)</f>
        <v>19446</v>
      </c>
      <c r="K142" s="2">
        <f>IF(MarketingTable[[#This Row],[Leads]]=0,"",MarketingTable[[#This Row],[Spend]]/MarketingTable[[#This Row],[Leads]])</f>
        <v>92.313999999999993</v>
      </c>
      <c r="L142" s="4">
        <f>IF(MarketingTable[[#This Row],[Spend]]=0,"",MarketingTable[[#This Row],[RevenueAttributed]]/MarketingTable[[#This Row],[Spend]])</f>
        <v>5.2662651385488655</v>
      </c>
      <c r="N142" t="s">
        <v>18</v>
      </c>
      <c r="O142" s="6">
        <f ca="1">MAX(0,TODAY()-(MarketingTable[[#This Row],[WeekStartDate]]+6))</f>
        <v>119</v>
      </c>
    </row>
    <row r="143" spans="1:15">
      <c r="A143" s="1">
        <v>45922</v>
      </c>
      <c r="B143" t="s">
        <v>25</v>
      </c>
      <c r="C143" t="s">
        <v>147</v>
      </c>
      <c r="D143" s="2">
        <v>1797.14</v>
      </c>
      <c r="E143" s="5">
        <v>938484</v>
      </c>
      <c r="F143" s="5">
        <v>16098</v>
      </c>
      <c r="G143" s="5">
        <v>165</v>
      </c>
      <c r="H143" s="5">
        <v>32</v>
      </c>
      <c r="I143" s="3">
        <v>5447</v>
      </c>
      <c r="J143" s="2" cm="1">
        <f t="array" ref="J143">MarketingTable[[#This Row],[RevenueAttributed]]*_xlfn.SWITCH(MarketingTable[[#This Row],[DataQualityFlag]],"OK",1,"Missing UTMs",0.7,"Suspect attribution",0.4,1)</f>
        <v>5447</v>
      </c>
      <c r="K143" s="2">
        <f>IF(MarketingTable[[#This Row],[Leads]]=0,"",MarketingTable[[#This Row],[Spend]]/MarketingTable[[#This Row],[Leads]])</f>
        <v>10.891757575757577</v>
      </c>
      <c r="L143" s="4">
        <f>IF(MarketingTable[[#This Row],[Spend]]=0,"",MarketingTable[[#This Row],[RevenueAttributed]]/MarketingTable[[#This Row],[Spend]])</f>
        <v>3.0309269172129047</v>
      </c>
      <c r="N143" t="s">
        <v>18</v>
      </c>
      <c r="O143" s="6">
        <f ca="1">MAX(0,TODAY()-(MarketingTable[[#This Row],[WeekStartDate]]+6))</f>
        <v>112</v>
      </c>
    </row>
    <row r="144" spans="1:15">
      <c r="A144" s="1">
        <v>45929</v>
      </c>
      <c r="B144" t="s">
        <v>29</v>
      </c>
      <c r="C144" t="s">
        <v>148</v>
      </c>
      <c r="D144" s="2">
        <v>8545.86</v>
      </c>
      <c r="E144" s="5">
        <v>887461</v>
      </c>
      <c r="F144" s="5">
        <v>13473</v>
      </c>
      <c r="G144" s="5">
        <v>242</v>
      </c>
      <c r="H144" s="5">
        <v>46</v>
      </c>
      <c r="I144" s="3">
        <v>32525</v>
      </c>
      <c r="J144" s="2" cm="1">
        <f t="array" ref="J144">MarketingTable[[#This Row],[RevenueAttributed]]*_xlfn.SWITCH(MarketingTable[[#This Row],[DataQualityFlag]],"OK",1,"Missing UTMs",0.7,"Suspect attribution",0.4,1)</f>
        <v>32525</v>
      </c>
      <c r="K144" s="2">
        <f>IF(MarketingTable[[#This Row],[Leads]]=0,"",MarketingTable[[#This Row],[Spend]]/MarketingTable[[#This Row],[Leads]])</f>
        <v>35.313471074380168</v>
      </c>
      <c r="L144" s="4">
        <f>IF(MarketingTable[[#This Row],[Spend]]=0,"",MarketingTable[[#This Row],[RevenueAttributed]]/MarketingTable[[#This Row],[Spend]])</f>
        <v>3.8059364417390404</v>
      </c>
      <c r="N144" t="s">
        <v>18</v>
      </c>
      <c r="O144" s="6">
        <f ca="1">MAX(0,TODAY()-(MarketingTable[[#This Row],[WeekStartDate]]+6))</f>
        <v>105</v>
      </c>
    </row>
    <row r="145" spans="1:15">
      <c r="A145" s="1">
        <v>45936</v>
      </c>
      <c r="B145" t="s">
        <v>25</v>
      </c>
      <c r="C145" t="s">
        <v>144</v>
      </c>
      <c r="D145" s="2">
        <v>1580.1</v>
      </c>
      <c r="E145" s="5">
        <v>1018584</v>
      </c>
      <c r="F145" s="5">
        <v>22245</v>
      </c>
      <c r="G145" s="5">
        <v>0</v>
      </c>
      <c r="H145" s="5">
        <v>0</v>
      </c>
      <c r="I145" s="3">
        <v>7427</v>
      </c>
      <c r="J145" s="2" cm="1">
        <f t="array" ref="J145">MarketingTable[[#This Row],[RevenueAttributed]]*_xlfn.SWITCH(MarketingTable[[#This Row],[DataQualityFlag]],"OK",1,"Missing UTMs",0.7,"Suspect attribution",0.4,1)</f>
        <v>7427</v>
      </c>
      <c r="K145" s="2" t="str">
        <f>IF(MarketingTable[[#This Row],[Leads]]=0,"",MarketingTable[[#This Row],[Spend]]/MarketingTable[[#This Row],[Leads]])</f>
        <v/>
      </c>
      <c r="L145" s="4">
        <f>IF(MarketingTable[[#This Row],[Spend]]=0,"",MarketingTable[[#This Row],[RevenueAttributed]]/MarketingTable[[#This Row],[Spend]])</f>
        <v>4.700335421808747</v>
      </c>
      <c r="M145" t="s">
        <v>31</v>
      </c>
      <c r="N145" t="s">
        <v>18</v>
      </c>
      <c r="O145" s="6">
        <f ca="1">MAX(0,TODAY()-(MarketingTable[[#This Row],[WeekStartDate]]+6))</f>
        <v>98</v>
      </c>
    </row>
    <row r="146" spans="1:15">
      <c r="A146" s="1">
        <v>45943</v>
      </c>
      <c r="B146" t="s">
        <v>19</v>
      </c>
      <c r="C146" t="s">
        <v>146</v>
      </c>
      <c r="D146" s="2">
        <v>3638.76</v>
      </c>
      <c r="E146" s="5">
        <v>109535</v>
      </c>
      <c r="F146" s="5">
        <v>1171</v>
      </c>
      <c r="G146" s="5">
        <v>13</v>
      </c>
      <c r="H146" s="5">
        <v>5</v>
      </c>
      <c r="I146" s="3">
        <v>10599</v>
      </c>
      <c r="J146" s="2" cm="1">
        <f t="array" ref="J146">MarketingTable[[#This Row],[RevenueAttributed]]*_xlfn.SWITCH(MarketingTable[[#This Row],[DataQualityFlag]],"OK",1,"Missing UTMs",0.7,"Suspect attribution",0.4,1)</f>
        <v>10599</v>
      </c>
      <c r="K146" s="2">
        <f>IF(MarketingTable[[#This Row],[Leads]]=0,"",MarketingTable[[#This Row],[Spend]]/MarketingTable[[#This Row],[Leads]])</f>
        <v>279.9046153846154</v>
      </c>
      <c r="L146" s="4">
        <f>IF(MarketingTable[[#This Row],[Spend]]=0,"",MarketingTable[[#This Row],[RevenueAttributed]]/MarketingTable[[#This Row],[Spend]])</f>
        <v>2.9128054612010685</v>
      </c>
      <c r="N146" t="s">
        <v>18</v>
      </c>
      <c r="O146" s="6">
        <f ca="1">MAX(0,TODAY()-(MarketingTable[[#This Row],[WeekStartDate]]+6))</f>
        <v>91</v>
      </c>
    </row>
    <row r="147" spans="1:15">
      <c r="A147" s="1">
        <v>45950</v>
      </c>
      <c r="B147" t="s">
        <v>25</v>
      </c>
      <c r="C147" t="s">
        <v>149</v>
      </c>
      <c r="D147" s="2">
        <v>476.49</v>
      </c>
      <c r="E147" s="5">
        <v>292800</v>
      </c>
      <c r="F147" s="5">
        <v>10585</v>
      </c>
      <c r="G147" s="5">
        <v>89</v>
      </c>
      <c r="H147" s="5">
        <v>16</v>
      </c>
      <c r="I147" s="3">
        <v>5410</v>
      </c>
      <c r="J147" s="2" cm="1">
        <f t="array" ref="J147">MarketingTable[[#This Row],[RevenueAttributed]]*_xlfn.SWITCH(MarketingTable[[#This Row],[DataQualityFlag]],"OK",1,"Missing UTMs",0.7,"Suspect attribution",0.4,1)</f>
        <v>5410</v>
      </c>
      <c r="K147" s="2">
        <f>IF(MarketingTable[[#This Row],[Leads]]=0,"",MarketingTable[[#This Row],[Spend]]/MarketingTable[[#This Row],[Leads]])</f>
        <v>5.3538202247191009</v>
      </c>
      <c r="L147" s="4">
        <f>IF(MarketingTable[[#This Row],[Spend]]=0,"",MarketingTable[[#This Row],[RevenueAttributed]]/MarketingTable[[#This Row],[Spend]])</f>
        <v>11.3538584230519</v>
      </c>
      <c r="N147" t="s">
        <v>18</v>
      </c>
      <c r="O147" s="6">
        <f ca="1">MAX(0,TODAY()-(MarketingTable[[#This Row],[WeekStartDate]]+6))</f>
        <v>84</v>
      </c>
    </row>
    <row r="148" spans="1:15">
      <c r="A148" s="1">
        <v>45957</v>
      </c>
      <c r="B148" t="s">
        <v>15</v>
      </c>
      <c r="C148" t="s">
        <v>150</v>
      </c>
      <c r="D148" s="2">
        <v>8455.52</v>
      </c>
      <c r="E148" s="5">
        <v>551299</v>
      </c>
      <c r="F148" s="5">
        <v>4438</v>
      </c>
      <c r="G148" s="5">
        <v>109</v>
      </c>
      <c r="H148" s="5">
        <v>44</v>
      </c>
      <c r="I148" s="3">
        <v>65926</v>
      </c>
      <c r="J148" s="2" cm="1">
        <f t="array" ref="J148">MarketingTable[[#This Row],[RevenueAttributed]]*_xlfn.SWITCH(MarketingTable[[#This Row],[DataQualityFlag]],"OK",1,"Missing UTMs",0.7,"Suspect attribution",0.4,1)</f>
        <v>65926</v>
      </c>
      <c r="K148" s="2">
        <f>IF(MarketingTable[[#This Row],[Leads]]=0,"",MarketingTable[[#This Row],[Spend]]/MarketingTable[[#This Row],[Leads]])</f>
        <v>77.573577981651383</v>
      </c>
      <c r="L148" s="4">
        <f>IF(MarketingTable[[#This Row],[Spend]]=0,"",MarketingTable[[#This Row],[RevenueAttributed]]/MarketingTable[[#This Row],[Spend]])</f>
        <v>7.7968001967945195</v>
      </c>
      <c r="N148" t="s">
        <v>18</v>
      </c>
      <c r="O148" s="6">
        <f ca="1">MAX(0,TODAY()-(MarketingTable[[#This Row],[WeekStartDate]]+6))</f>
        <v>77</v>
      </c>
    </row>
    <row r="149" spans="1:15">
      <c r="A149" s="1">
        <v>45964</v>
      </c>
      <c r="B149" t="s">
        <v>23</v>
      </c>
      <c r="C149" t="s">
        <v>56</v>
      </c>
      <c r="D149" s="2">
        <v>4506.2299999999996</v>
      </c>
      <c r="E149" s="5">
        <v>349285</v>
      </c>
      <c r="F149" s="5">
        <v>17353</v>
      </c>
      <c r="G149" s="5">
        <v>252</v>
      </c>
      <c r="H149" s="5">
        <v>68</v>
      </c>
      <c r="I149" s="3">
        <v>14394</v>
      </c>
      <c r="J149" s="2" cm="1">
        <f t="array" ref="J149">MarketingTable[[#This Row],[RevenueAttributed]]*_xlfn.SWITCH(MarketingTable[[#This Row],[DataQualityFlag]],"OK",1,"Missing UTMs",0.7,"Suspect attribution",0.4,1)</f>
        <v>10075.799999999999</v>
      </c>
      <c r="K149" s="2">
        <f>IF(MarketingTable[[#This Row],[Leads]]=0,"",MarketingTable[[#This Row],[Spend]]/MarketingTable[[#This Row],[Leads]])</f>
        <v>17.881865079365078</v>
      </c>
      <c r="L149" s="4">
        <f>IF(MarketingTable[[#This Row],[Spend]]=0,"",MarketingTable[[#This Row],[RevenueAttributed]]/MarketingTable[[#This Row],[Spend]])</f>
        <v>3.1942444127352578</v>
      </c>
      <c r="M149" t="s">
        <v>27</v>
      </c>
      <c r="N149" t="s">
        <v>28</v>
      </c>
      <c r="O149" s="6">
        <f ca="1">MAX(0,TODAY()-(MarketingTable[[#This Row],[WeekStartDate]]+6))</f>
        <v>70</v>
      </c>
    </row>
    <row r="150" spans="1:15">
      <c r="A150" s="1">
        <v>45971</v>
      </c>
      <c r="B150" t="s">
        <v>23</v>
      </c>
      <c r="C150" t="s">
        <v>81</v>
      </c>
      <c r="D150" s="2">
        <v>7042.34</v>
      </c>
      <c r="E150" s="5">
        <v>632596</v>
      </c>
      <c r="F150" s="5">
        <v>30150</v>
      </c>
      <c r="G150" s="5">
        <v>462</v>
      </c>
      <c r="H150" s="5">
        <v>181</v>
      </c>
      <c r="I150" s="3">
        <v>54819</v>
      </c>
      <c r="J150" s="2" cm="1">
        <f t="array" ref="J150">MarketingTable[[#This Row],[RevenueAttributed]]*_xlfn.SWITCH(MarketingTable[[#This Row],[DataQualityFlag]],"OK",1,"Missing UTMs",0.7,"Suspect attribution",0.4,1)</f>
        <v>54819</v>
      </c>
      <c r="K150" s="2">
        <f>IF(MarketingTable[[#This Row],[Leads]]=0,"",MarketingTable[[#This Row],[Spend]]/MarketingTable[[#This Row],[Leads]])</f>
        <v>15.243160173160174</v>
      </c>
      <c r="L150" s="4">
        <f>IF(MarketingTable[[#This Row],[Spend]]=0,"",MarketingTable[[#This Row],[RevenueAttributed]]/MarketingTable[[#This Row],[Spend]])</f>
        <v>7.7842024099944052</v>
      </c>
      <c r="N150" t="s">
        <v>18</v>
      </c>
      <c r="O150" s="6">
        <f ca="1">MAX(0,TODAY()-(MarketingTable[[#This Row],[WeekStartDate]]+6))</f>
        <v>63</v>
      </c>
    </row>
    <row r="151" spans="1:15">
      <c r="A151" s="1">
        <v>45985</v>
      </c>
      <c r="B151" t="s">
        <v>29</v>
      </c>
      <c r="C151" t="s">
        <v>151</v>
      </c>
      <c r="D151" s="2">
        <v>6984.83</v>
      </c>
      <c r="E151" s="5">
        <v>522830</v>
      </c>
      <c r="F151" s="5">
        <v>5629</v>
      </c>
      <c r="G151" s="5">
        <v>1</v>
      </c>
      <c r="H151" s="5">
        <v>0</v>
      </c>
      <c r="I151" s="3">
        <v>32611</v>
      </c>
      <c r="J151" s="2" cm="1">
        <f t="array" ref="J151">MarketingTable[[#This Row],[RevenueAttributed]]*_xlfn.SWITCH(MarketingTable[[#This Row],[DataQualityFlag]],"OK",1,"Missing UTMs",0.7,"Suspect attribution",0.4,1)</f>
        <v>32611</v>
      </c>
      <c r="K151" s="2">
        <f>IF(MarketingTable[[#This Row],[Leads]]=0,"",MarketingTable[[#This Row],[Spend]]/MarketingTable[[#This Row],[Leads]])</f>
        <v>6984.83</v>
      </c>
      <c r="L151" s="4">
        <f>IF(MarketingTable[[#This Row],[Spend]]=0,"",MarketingTable[[#This Row],[RevenueAttributed]]/MarketingTable[[#This Row],[Spend]])</f>
        <v>4.6688323123111086</v>
      </c>
      <c r="M151" t="s">
        <v>17</v>
      </c>
      <c r="N151" t="s">
        <v>18</v>
      </c>
      <c r="O151" s="6">
        <f ca="1">MAX(0,TODAY()-(MarketingTable[[#This Row],[WeekStartDate]]+6))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2026-01-18T00:11:25Z</dcterms:created>
  <dcterms:modified xsi:type="dcterms:W3CDTF">2026-01-18T18:54:57Z</dcterms:modified>
  <cp:category/>
  <cp:contentStatus/>
</cp:coreProperties>
</file>