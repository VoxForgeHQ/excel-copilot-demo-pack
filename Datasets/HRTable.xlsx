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D5E9A324-2D68-41E2-86D2-DF2DE722DD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R_Onboard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</calcChain>
</file>

<file path=xl/sharedStrings.xml><?xml version="1.0" encoding="utf-8"?>
<sst xmlns="http://schemas.openxmlformats.org/spreadsheetml/2006/main" count="1183" uniqueCount="137">
  <si>
    <t>EmployeeID</t>
  </si>
  <si>
    <t>Role</t>
  </si>
  <si>
    <t>Department</t>
  </si>
  <si>
    <t>StartDate</t>
  </si>
  <si>
    <t>Manager</t>
  </si>
  <si>
    <t>OnboardingTask</t>
  </si>
  <si>
    <t>TaskOwner</t>
  </si>
  <si>
    <t>DueDate</t>
  </si>
  <si>
    <t>CompletedDate</t>
  </si>
  <si>
    <t>Status</t>
  </si>
  <si>
    <t>BlockedReason</t>
  </si>
  <si>
    <t>TrainingModule</t>
  </si>
  <si>
    <t>TrainingStatus</t>
  </si>
  <si>
    <t>Notes</t>
  </si>
  <si>
    <t>WeightedValue</t>
  </si>
  <si>
    <t>CAC</t>
  </si>
  <si>
    <t>ROAS</t>
  </si>
  <si>
    <t>DaysLate</t>
  </si>
  <si>
    <t>E2025-0001</t>
  </si>
  <si>
    <t>Recruiter</t>
  </si>
  <si>
    <t>HR</t>
  </si>
  <si>
    <t>Grace Thompson</t>
  </si>
  <si>
    <t>Complete Code of Conduct training</t>
  </si>
  <si>
    <t>Employee</t>
  </si>
  <si>
    <t>Not started</t>
  </si>
  <si>
    <t>Code of Conduct</t>
  </si>
  <si>
    <t>Assigned</t>
  </si>
  <si>
    <t>Request core system access (HRIS/CRM/Jira)</t>
  </si>
  <si>
    <t>N/A</t>
  </si>
  <si>
    <t>Not assigned</t>
  </si>
  <si>
    <t>Meet manager: 30-60-90 plan review</t>
  </si>
  <si>
    <t>Blocked</t>
  </si>
  <si>
    <t>Waiting for laptop</t>
  </si>
  <si>
    <t>Blocked: Waiting for laptop</t>
  </si>
  <si>
    <t>Set up email and Teams account</t>
  </si>
  <si>
    <t>IT</t>
  </si>
  <si>
    <t>E2025-0002</t>
  </si>
  <si>
    <t>HR Coordinator</t>
  </si>
  <si>
    <t>Workstation/desk setup</t>
  </si>
  <si>
    <t>Facilities</t>
  </si>
  <si>
    <t>In progress</t>
  </si>
  <si>
    <t>Set up multi-factor authentication (MFA)</t>
  </si>
  <si>
    <t>Done</t>
  </si>
  <si>
    <t>Completed date missing (data issue)</t>
  </si>
  <si>
    <t>E2025-0003</t>
  </si>
  <si>
    <t>Software Engineer II</t>
  </si>
  <si>
    <t>Engineering</t>
  </si>
  <si>
    <t>Ava Patel</t>
  </si>
  <si>
    <t>Completed</t>
  </si>
  <si>
    <t>Badge &amp; building access setup</t>
  </si>
  <si>
    <t>Complete Data Privacy (GDPR) training</t>
  </si>
  <si>
    <t>Data Privacy (GDPR)</t>
  </si>
  <si>
    <t>Complete I-9 verification</t>
  </si>
  <si>
    <t>E2025-0004</t>
  </si>
  <si>
    <t>Office Coordinator</t>
  </si>
  <si>
    <t>Operations</t>
  </si>
  <si>
    <t>Harper Wilson</t>
  </si>
  <si>
    <t>Provision laptop and accessories</t>
  </si>
  <si>
    <t>Device to be delivered to desk or shipped</t>
  </si>
  <si>
    <t>Submit direct deposit details</t>
  </si>
  <si>
    <t>Complete Security Awareness training</t>
  </si>
  <si>
    <t>Security Awareness</t>
  </si>
  <si>
    <t>E2025-0005</t>
  </si>
  <si>
    <t>FP&amp;A Analyst</t>
  </si>
  <si>
    <t>Finance</t>
  </si>
  <si>
    <t>Benjamin Lee</t>
  </si>
  <si>
    <t>Enroll in benefits (medical/dental/401k)</t>
  </si>
  <si>
    <t>E2025-0006</t>
  </si>
  <si>
    <t>Data Analyst</t>
  </si>
  <si>
    <t>Sofia Ramirez</t>
  </si>
  <si>
    <t>Team introductions / buddy assignment</t>
  </si>
  <si>
    <t>Include required groups/roles in request</t>
  </si>
  <si>
    <t>Read employee handbook and confirm</t>
  </si>
  <si>
    <t>Employee Handbook</t>
  </si>
  <si>
    <t>E2025-0007</t>
  </si>
  <si>
    <t>Duplicate task entry (data quality issue)</t>
  </si>
  <si>
    <t>Manager unavailable</t>
  </si>
  <si>
    <t>Blocked: Manager unavailable</t>
  </si>
  <si>
    <t>E2025-0008</t>
  </si>
  <si>
    <t>IT Support Technician</t>
  </si>
  <si>
    <t>Jackson Moore</t>
  </si>
  <si>
    <t>Complete Workplace Harassment Prevention training</t>
  </si>
  <si>
    <t>Harassment Prevention</t>
  </si>
  <si>
    <t>E2025-0009</t>
  </si>
  <si>
    <t>QA Engineer</t>
  </si>
  <si>
    <t>Complete expense policy acknowledgement</t>
  </si>
  <si>
    <t>E2025-0010</t>
  </si>
  <si>
    <t>Operations Associate</t>
  </si>
  <si>
    <t>Role tools walkthrough (apps &amp; workflow)</t>
  </si>
  <si>
    <t>Operations Lead</t>
  </si>
  <si>
    <t>Access not granted</t>
  </si>
  <si>
    <t>Role Tools 101</t>
  </si>
  <si>
    <t>Blocked: Access not granted</t>
  </si>
  <si>
    <t>Duplicate task entry (data quality issue); Not started</t>
  </si>
  <si>
    <t>E2025-0011</t>
  </si>
  <si>
    <t>E2025-0012</t>
  </si>
  <si>
    <t>Customer Success Associate</t>
  </si>
  <si>
    <t>Customer Support</t>
  </si>
  <si>
    <t>Chloe Davis</t>
  </si>
  <si>
    <t>Duplicate task entry (data quality issue); Blocked: Manager unavailable</t>
  </si>
  <si>
    <t>E2025-0013</t>
  </si>
  <si>
    <t>Sales Operations Analyst</t>
  </si>
  <si>
    <t>Sales</t>
  </si>
  <si>
    <t>Ethan Brooks</t>
  </si>
  <si>
    <t>E2025-0014</t>
  </si>
  <si>
    <t>Technical Support Specialist</t>
  </si>
  <si>
    <t>E2025-0015</t>
  </si>
  <si>
    <t>Daniel Nguyen</t>
  </si>
  <si>
    <t>Support Lead</t>
  </si>
  <si>
    <t>E2025-0016</t>
  </si>
  <si>
    <t>People Operations Specialist</t>
  </si>
  <si>
    <t>Schedule on calendar during first week</t>
  </si>
  <si>
    <t>E2025-0017</t>
  </si>
  <si>
    <t>Systems Administrator</t>
  </si>
  <si>
    <t>E2025-0018</t>
  </si>
  <si>
    <t>Growth Analyst</t>
  </si>
  <si>
    <t>Marketing</t>
  </si>
  <si>
    <t>Lucas Wright</t>
  </si>
  <si>
    <t>E2025-0019</t>
  </si>
  <si>
    <t>E2025-0020</t>
  </si>
  <si>
    <t>Duplicate task entry (data quality issue); In progress</t>
  </si>
  <si>
    <t>E2025-0021</t>
  </si>
  <si>
    <t>E2025-0022</t>
  </si>
  <si>
    <t>Content Strategist</t>
  </si>
  <si>
    <t>Olivia Martin</t>
  </si>
  <si>
    <t>E2025-0023</t>
  </si>
  <si>
    <t>Engineering Enablement</t>
  </si>
  <si>
    <t>E2025-0024</t>
  </si>
  <si>
    <t>IT Analyst</t>
  </si>
  <si>
    <t>E2025-0025</t>
  </si>
  <si>
    <t>E2025-0026</t>
  </si>
  <si>
    <t>E2025-0027</t>
  </si>
  <si>
    <t>E2025-0028</t>
  </si>
  <si>
    <t>Accounts Payable Specialist</t>
  </si>
  <si>
    <t>E2025-0029</t>
  </si>
  <si>
    <t>Noah Kim</t>
  </si>
  <si>
    <t>E2025-0030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</si>
</sst>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2" formatCode="0.00"/>
    </dxf>
    <dxf>
      <numFmt numFmtId="165" formatCode="&quot;$&quot;#,##0.00"/>
    </dxf>
    <dxf>
      <numFmt numFmtId="165" formatCode="&quot;$&quot;#,##0.00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FFB17-A11D-4507-A5AB-F5B81DADC002}" name="HRTable" displayName="HRTable" ref="A1:R121" totalsRowShown="0">
  <autoFilter ref="A1:R121" xr:uid="{0D5FFB17-A11D-4507-A5AB-F5B81DADC002}"/>
  <tableColumns count="18">
    <tableColumn id="1" xr3:uid="{613B4D19-9518-4951-BCEB-B890568555BC}" name="EmployeeID"/>
    <tableColumn id="2" xr3:uid="{DB435B37-6CD5-43C2-ABF6-F5EFFC398F26}" name="Role"/>
    <tableColumn id="3" xr3:uid="{D97CA7D8-1D6F-49B2-BE03-00A8BCAC19E5}" name="Department"/>
    <tableColumn id="4" xr3:uid="{A7B321EF-89E8-4CEC-8FAB-AA45F558619C}" name="StartDate" dataDxfId="6"/>
    <tableColumn id="5" xr3:uid="{A333D20C-7B40-49B2-A8EC-E480FD579973}" name="Manager"/>
    <tableColumn id="6" xr3:uid="{D1B8E6A8-4D5A-4E8F-9447-728206991F51}" name="OnboardingTask"/>
    <tableColumn id="7" xr3:uid="{526EFA67-AFCB-440E-9B58-18ACA1851744}" name="TaskOwner"/>
    <tableColumn id="8" xr3:uid="{512B3175-0C34-4BD1-BA29-2E4800BF403C}" name="DueDate" dataDxfId="5"/>
    <tableColumn id="9" xr3:uid="{19331643-AB76-4E09-8E02-53221F0DA7D1}" name="CompletedDate" dataDxfId="4"/>
    <tableColumn id="10" xr3:uid="{DEC08604-A99B-4CFE-BA32-28283B55A4F7}" name="Status"/>
    <tableColumn id="11" xr3:uid="{AB52E2B0-B2E0-4372-B052-924ADA112EAF}" name="BlockedReason"/>
    <tableColumn id="12" xr3:uid="{FEAE5ED2-D752-4F11-A634-1B78BA5AD189}" name="TrainingModule"/>
    <tableColumn id="13" xr3:uid="{4A9F6C16-7FF6-49F8-BC9C-257C0226CEA3}" name="TrainingStatus"/>
    <tableColumn id="14" xr3:uid="{9A0D2A3F-2D25-4B8E-902A-EF915A083795}" name="Notes"/>
    <tableColumn id="15" xr3:uid="{F0FC9979-0C68-4A13-BF29-4D804A850700}" name="WeightedValue" dataDxfId="3"/>
    <tableColumn id="16" xr3:uid="{22C7ECF7-CD7B-483E-84EF-F89F7391CB9D}" name="CAC" dataDxfId="2"/>
    <tableColumn id="17" xr3:uid="{C1432432-A6E3-4B9D-84EB-367943253366}" name="ROAS" dataDxfId="1"/>
    <tableColumn id="18" xr3:uid="{6D204F97-0224-460E-8BA1-101F9B0171AA}" name="DaysLate" dataDxfId="0">
      <calculatedColumnFormula>IF(HRTable[[#This Row],[DueDate]]="", "", MAX(0, IF(HRTable[[#This Row],[CompletedDate]]="", TODAY()-HRTable[[#This Row],[DueDate]], HRTable[[#This Row],[CompletedDate]]-HRTable[[#This Row],[DueDate]])))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8E05-5264-4FB1-B322-361F92910170}">
  <dimension ref="A1:R121"/>
  <sheetViews>
    <sheetView tabSelected="1" workbookViewId="0">
      <pane ySplit="1" topLeftCell="M2" activePane="bottomLeft" state="frozen"/>
      <selection pane="bottomLeft" activeCell="C29" sqref="C29"/>
    </sheetView>
  </sheetViews>
  <sheetFormatPr defaultRowHeight="15"/>
  <cols>
    <col min="1" max="1" width="13.85546875" bestFit="1" customWidth="1"/>
    <col min="2" max="2" width="25.5703125" bestFit="1" customWidth="1"/>
    <col min="3" max="3" width="16.7109375" bestFit="1" customWidth="1"/>
    <col min="4" max="4" width="11.7109375" bestFit="1" customWidth="1"/>
    <col min="5" max="5" width="15.7109375" bestFit="1" customWidth="1"/>
    <col min="6" max="6" width="47.28515625" bestFit="1" customWidth="1"/>
    <col min="7" max="7" width="22.140625" bestFit="1" customWidth="1"/>
    <col min="8" max="8" width="11" bestFit="1" customWidth="1"/>
    <col min="9" max="9" width="17.140625" bestFit="1" customWidth="1"/>
    <col min="10" max="10" width="10.85546875" bestFit="1" customWidth="1"/>
    <col min="11" max="11" width="19.140625" bestFit="1" customWidth="1"/>
    <col min="12" max="12" width="21.28515625" bestFit="1" customWidth="1"/>
    <col min="13" max="13" width="16" bestFit="1" customWidth="1"/>
    <col min="14" max="14" width="62.42578125" bestFit="1" customWidth="1"/>
    <col min="15" max="15" width="16.85546875" bestFit="1" customWidth="1"/>
    <col min="16" max="16" width="6.7109375" bestFit="1" customWidth="1"/>
    <col min="17" max="17" width="8.140625" bestFit="1" customWidth="1"/>
    <col min="18" max="18" width="11.1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s="1">
        <v>45698</v>
      </c>
      <c r="E2" t="s">
        <v>21</v>
      </c>
      <c r="F2" t="s">
        <v>22</v>
      </c>
      <c r="G2" t="s">
        <v>23</v>
      </c>
      <c r="H2" s="1">
        <v>45718</v>
      </c>
      <c r="I2" s="1"/>
      <c r="J2" t="s">
        <v>24</v>
      </c>
      <c r="L2" t="s">
        <v>25</v>
      </c>
      <c r="M2" t="s">
        <v>26</v>
      </c>
      <c r="N2" t="s">
        <v>24</v>
      </c>
      <c r="O2" s="3"/>
      <c r="P2" s="3"/>
      <c r="Q2" s="4"/>
      <c r="R2" s="2">
        <f ca="1">IF(HRTable[[#This Row],[DueDate]]="", "", MAX(0, IF(HRTable[[#This Row],[CompletedDate]]="", TODAY()-HRTable[[#This Row],[DueDate]], HRTable[[#This Row],[CompletedDate]]-HRTable[[#This Row],[DueDate]])))</f>
        <v>322</v>
      </c>
    </row>
    <row r="3" spans="1:18">
      <c r="A3" t="s">
        <v>18</v>
      </c>
      <c r="B3" t="s">
        <v>19</v>
      </c>
      <c r="C3" t="s">
        <v>20</v>
      </c>
      <c r="D3" s="1">
        <v>45698</v>
      </c>
      <c r="E3" t="s">
        <v>21</v>
      </c>
      <c r="F3" t="s">
        <v>27</v>
      </c>
      <c r="G3" t="s">
        <v>4</v>
      </c>
      <c r="H3" s="1">
        <v>45713</v>
      </c>
      <c r="I3" s="1"/>
      <c r="J3" t="s">
        <v>24</v>
      </c>
      <c r="L3" t="s">
        <v>28</v>
      </c>
      <c r="M3" t="s">
        <v>29</v>
      </c>
      <c r="N3" t="s">
        <v>24</v>
      </c>
      <c r="O3" s="3"/>
      <c r="P3" s="3"/>
      <c r="Q3" s="4"/>
      <c r="R3" s="2">
        <f ca="1">IF(HRTable[[#This Row],[DueDate]]="", "", MAX(0, IF(HRTable[[#This Row],[CompletedDate]]="", TODAY()-HRTable[[#This Row],[DueDate]], HRTable[[#This Row],[CompletedDate]]-HRTable[[#This Row],[DueDate]])))</f>
        <v>327</v>
      </c>
    </row>
    <row r="4" spans="1:18">
      <c r="A4" t="s">
        <v>18</v>
      </c>
      <c r="B4" t="s">
        <v>19</v>
      </c>
      <c r="C4" t="s">
        <v>20</v>
      </c>
      <c r="D4" s="1">
        <v>45698</v>
      </c>
      <c r="E4" t="s">
        <v>21</v>
      </c>
      <c r="F4" t="s">
        <v>30</v>
      </c>
      <c r="G4" t="s">
        <v>4</v>
      </c>
      <c r="H4" s="1">
        <v>45706</v>
      </c>
      <c r="I4" s="1"/>
      <c r="J4" t="s">
        <v>31</v>
      </c>
      <c r="K4" t="s">
        <v>32</v>
      </c>
      <c r="L4" t="s">
        <v>28</v>
      </c>
      <c r="M4" t="s">
        <v>29</v>
      </c>
      <c r="N4" t="s">
        <v>33</v>
      </c>
      <c r="O4" s="3"/>
      <c r="P4" s="3"/>
      <c r="Q4" s="4"/>
      <c r="R4" s="2">
        <f ca="1">IF(HRTable[[#This Row],[DueDate]]="", "", MAX(0, IF(HRTable[[#This Row],[CompletedDate]]="", TODAY()-HRTable[[#This Row],[DueDate]], HRTable[[#This Row],[CompletedDate]]-HRTable[[#This Row],[DueDate]])))</f>
        <v>334</v>
      </c>
    </row>
    <row r="5" spans="1:18">
      <c r="A5" t="s">
        <v>18</v>
      </c>
      <c r="B5" t="s">
        <v>19</v>
      </c>
      <c r="C5" t="s">
        <v>20</v>
      </c>
      <c r="D5" s="1">
        <v>45698</v>
      </c>
      <c r="E5" t="s">
        <v>21</v>
      </c>
      <c r="F5" t="s">
        <v>34</v>
      </c>
      <c r="G5" t="s">
        <v>35</v>
      </c>
      <c r="H5" s="1">
        <v>45704</v>
      </c>
      <c r="I5" s="1"/>
      <c r="J5" t="s">
        <v>31</v>
      </c>
      <c r="K5" t="s">
        <v>32</v>
      </c>
      <c r="L5" t="s">
        <v>28</v>
      </c>
      <c r="M5" t="s">
        <v>29</v>
      </c>
      <c r="N5" t="s">
        <v>33</v>
      </c>
      <c r="O5" s="3"/>
      <c r="P5" s="3"/>
      <c r="Q5" s="4"/>
      <c r="R5" s="2">
        <f ca="1">IF(HRTable[[#This Row],[DueDate]]="", "", MAX(0, IF(HRTable[[#This Row],[CompletedDate]]="", TODAY()-HRTable[[#This Row],[DueDate]], HRTable[[#This Row],[CompletedDate]]-HRTable[[#This Row],[DueDate]])))</f>
        <v>336</v>
      </c>
    </row>
    <row r="6" spans="1:18">
      <c r="A6" t="s">
        <v>36</v>
      </c>
      <c r="B6" t="s">
        <v>37</v>
      </c>
      <c r="C6" t="s">
        <v>20</v>
      </c>
      <c r="D6" s="1">
        <v>45847</v>
      </c>
      <c r="E6" t="s">
        <v>21</v>
      </c>
      <c r="F6" t="s">
        <v>38</v>
      </c>
      <c r="G6" t="s">
        <v>39</v>
      </c>
      <c r="H6" s="1">
        <v>45858</v>
      </c>
      <c r="I6" s="1"/>
      <c r="J6" t="s">
        <v>24</v>
      </c>
      <c r="L6" t="s">
        <v>28</v>
      </c>
      <c r="M6" t="s">
        <v>29</v>
      </c>
      <c r="N6" t="s">
        <v>24</v>
      </c>
      <c r="O6" s="3"/>
      <c r="P6" s="3"/>
      <c r="Q6" s="4"/>
      <c r="R6" s="2">
        <f ca="1">IF(HRTable[[#This Row],[DueDate]]="", "", MAX(0, IF(HRTable[[#This Row],[CompletedDate]]="", TODAY()-HRTable[[#This Row],[DueDate]], HRTable[[#This Row],[CompletedDate]]-HRTable[[#This Row],[DueDate]])))</f>
        <v>182</v>
      </c>
    </row>
    <row r="7" spans="1:18">
      <c r="A7" t="s">
        <v>36</v>
      </c>
      <c r="B7" t="s">
        <v>37</v>
      </c>
      <c r="C7" t="s">
        <v>20</v>
      </c>
      <c r="D7" s="1">
        <v>45847</v>
      </c>
      <c r="E7" t="s">
        <v>21</v>
      </c>
      <c r="F7" t="s">
        <v>27</v>
      </c>
      <c r="G7" t="s">
        <v>4</v>
      </c>
      <c r="H7" s="1">
        <v>45866</v>
      </c>
      <c r="I7" s="1"/>
      <c r="J7" t="s">
        <v>40</v>
      </c>
      <c r="L7" t="s">
        <v>28</v>
      </c>
      <c r="M7" t="s">
        <v>29</v>
      </c>
      <c r="N7" t="s">
        <v>40</v>
      </c>
      <c r="O7" s="3"/>
      <c r="P7" s="3"/>
      <c r="Q7" s="4"/>
      <c r="R7" s="2">
        <f ca="1">IF(HRTable[[#This Row],[DueDate]]="", "", MAX(0, IF(HRTable[[#This Row],[CompletedDate]]="", TODAY()-HRTable[[#This Row],[DueDate]], HRTable[[#This Row],[CompletedDate]]-HRTable[[#This Row],[DueDate]])))</f>
        <v>174</v>
      </c>
    </row>
    <row r="8" spans="1:18">
      <c r="A8" t="s">
        <v>36</v>
      </c>
      <c r="B8" t="s">
        <v>37</v>
      </c>
      <c r="C8" t="s">
        <v>20</v>
      </c>
      <c r="D8" s="1">
        <v>45847</v>
      </c>
      <c r="E8" t="s">
        <v>21</v>
      </c>
      <c r="F8" t="s">
        <v>41</v>
      </c>
      <c r="G8" t="s">
        <v>35</v>
      </c>
      <c r="H8" s="1">
        <v>45850</v>
      </c>
      <c r="I8" s="1"/>
      <c r="J8" t="s">
        <v>31</v>
      </c>
      <c r="K8" t="s">
        <v>32</v>
      </c>
      <c r="L8" t="s">
        <v>28</v>
      </c>
      <c r="M8" t="s">
        <v>29</v>
      </c>
      <c r="N8" t="s">
        <v>33</v>
      </c>
      <c r="O8" s="3"/>
      <c r="P8" s="3"/>
      <c r="Q8" s="4"/>
      <c r="R8" s="2">
        <f ca="1">IF(HRTable[[#This Row],[DueDate]]="", "", MAX(0, IF(HRTable[[#This Row],[CompletedDate]]="", TODAY()-HRTable[[#This Row],[DueDate]], HRTable[[#This Row],[CompletedDate]]-HRTable[[#This Row],[DueDate]])))</f>
        <v>190</v>
      </c>
    </row>
    <row r="9" spans="1:18">
      <c r="A9" t="s">
        <v>36</v>
      </c>
      <c r="B9" t="s">
        <v>37</v>
      </c>
      <c r="C9" t="s">
        <v>20</v>
      </c>
      <c r="D9" s="1">
        <v>45847</v>
      </c>
      <c r="E9" t="s">
        <v>21</v>
      </c>
      <c r="F9" t="s">
        <v>30</v>
      </c>
      <c r="G9" t="s">
        <v>4</v>
      </c>
      <c r="H9" s="1">
        <v>45855</v>
      </c>
      <c r="I9" s="1"/>
      <c r="J9" t="s">
        <v>42</v>
      </c>
      <c r="L9" t="s">
        <v>28</v>
      </c>
      <c r="M9" t="s">
        <v>29</v>
      </c>
      <c r="N9" t="s">
        <v>43</v>
      </c>
      <c r="O9" s="3"/>
      <c r="P9" s="3"/>
      <c r="Q9" s="4"/>
      <c r="R9" s="2">
        <f ca="1">IF(HRTable[[#This Row],[DueDate]]="", "", MAX(0, IF(HRTable[[#This Row],[CompletedDate]]="", TODAY()-HRTable[[#This Row],[DueDate]], HRTable[[#This Row],[CompletedDate]]-HRTable[[#This Row],[DueDate]])))</f>
        <v>185</v>
      </c>
    </row>
    <row r="10" spans="1:18">
      <c r="A10" t="s">
        <v>44</v>
      </c>
      <c r="B10" t="s">
        <v>45</v>
      </c>
      <c r="C10" t="s">
        <v>46</v>
      </c>
      <c r="D10" s="1">
        <v>45971</v>
      </c>
      <c r="E10" t="s">
        <v>47</v>
      </c>
      <c r="F10" t="s">
        <v>22</v>
      </c>
      <c r="G10" t="s">
        <v>23</v>
      </c>
      <c r="H10" s="1">
        <v>45984</v>
      </c>
      <c r="I10" s="1">
        <v>45975</v>
      </c>
      <c r="J10" t="s">
        <v>42</v>
      </c>
      <c r="L10" t="s">
        <v>25</v>
      </c>
      <c r="M10" t="s">
        <v>48</v>
      </c>
      <c r="O10" s="3"/>
      <c r="P10" s="3"/>
      <c r="Q10" s="4"/>
      <c r="R10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1" spans="1:18">
      <c r="A11" t="s">
        <v>44</v>
      </c>
      <c r="B11" t="s">
        <v>45</v>
      </c>
      <c r="C11" t="s">
        <v>46</v>
      </c>
      <c r="D11" s="1">
        <v>45971</v>
      </c>
      <c r="E11" t="s">
        <v>47</v>
      </c>
      <c r="F11" t="s">
        <v>49</v>
      </c>
      <c r="G11" t="s">
        <v>39</v>
      </c>
      <c r="H11" s="1">
        <v>45982</v>
      </c>
      <c r="I11" s="1">
        <v>45977</v>
      </c>
      <c r="J11" t="s">
        <v>42</v>
      </c>
      <c r="L11" t="s">
        <v>28</v>
      </c>
      <c r="M11" t="s">
        <v>29</v>
      </c>
      <c r="O11" s="3"/>
      <c r="P11" s="3"/>
      <c r="Q11" s="4"/>
      <c r="R11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2" spans="1:18">
      <c r="A12" t="s">
        <v>44</v>
      </c>
      <c r="B12" t="s">
        <v>45</v>
      </c>
      <c r="C12" t="s">
        <v>46</v>
      </c>
      <c r="D12" s="1">
        <v>45971</v>
      </c>
      <c r="E12" t="s">
        <v>47</v>
      </c>
      <c r="F12" t="s">
        <v>50</v>
      </c>
      <c r="G12" t="s">
        <v>23</v>
      </c>
      <c r="H12" s="1">
        <v>45992</v>
      </c>
      <c r="I12" s="1"/>
      <c r="J12" t="s">
        <v>40</v>
      </c>
      <c r="L12" t="s">
        <v>51</v>
      </c>
      <c r="M12" t="s">
        <v>26</v>
      </c>
      <c r="N12" t="s">
        <v>40</v>
      </c>
      <c r="O12" s="3"/>
      <c r="P12" s="3"/>
      <c r="Q12" s="4"/>
      <c r="R12" s="2">
        <f ca="1">IF(HRTable[[#This Row],[DueDate]]="", "", MAX(0, IF(HRTable[[#This Row],[CompletedDate]]="", TODAY()-HRTable[[#This Row],[DueDate]], HRTable[[#This Row],[CompletedDate]]-HRTable[[#This Row],[DueDate]])))</f>
        <v>48</v>
      </c>
    </row>
    <row r="13" spans="1:18">
      <c r="A13" t="s">
        <v>44</v>
      </c>
      <c r="B13" t="s">
        <v>45</v>
      </c>
      <c r="C13" t="s">
        <v>46</v>
      </c>
      <c r="D13" s="1">
        <v>45971</v>
      </c>
      <c r="E13" t="s">
        <v>47</v>
      </c>
      <c r="F13" t="s">
        <v>52</v>
      </c>
      <c r="G13" t="s">
        <v>20</v>
      </c>
      <c r="H13" s="1">
        <v>45974</v>
      </c>
      <c r="I13" s="1"/>
      <c r="J13" t="s">
        <v>40</v>
      </c>
      <c r="L13" t="s">
        <v>28</v>
      </c>
      <c r="M13" t="s">
        <v>29</v>
      </c>
      <c r="N13" t="s">
        <v>40</v>
      </c>
      <c r="O13" s="3"/>
      <c r="P13" s="3"/>
      <c r="Q13" s="4"/>
      <c r="R13" s="2">
        <f ca="1">IF(HRTable[[#This Row],[DueDate]]="", "", MAX(0, IF(HRTable[[#This Row],[CompletedDate]]="", TODAY()-HRTable[[#This Row],[DueDate]], HRTable[[#This Row],[CompletedDate]]-HRTable[[#This Row],[DueDate]])))</f>
        <v>66</v>
      </c>
    </row>
    <row r="14" spans="1:18">
      <c r="A14" t="s">
        <v>53</v>
      </c>
      <c r="B14" t="s">
        <v>54</v>
      </c>
      <c r="C14" t="s">
        <v>55</v>
      </c>
      <c r="D14" s="1">
        <v>45665</v>
      </c>
      <c r="E14" t="s">
        <v>56</v>
      </c>
      <c r="F14" t="s">
        <v>57</v>
      </c>
      <c r="G14" t="s">
        <v>35</v>
      </c>
      <c r="H14" s="1">
        <v>45666</v>
      </c>
      <c r="I14" s="1">
        <v>45667</v>
      </c>
      <c r="J14" t="s">
        <v>42</v>
      </c>
      <c r="L14" t="s">
        <v>28</v>
      </c>
      <c r="M14" t="s">
        <v>29</v>
      </c>
      <c r="N14" t="s">
        <v>58</v>
      </c>
      <c r="O14" s="3"/>
      <c r="P14" s="3"/>
      <c r="Q14" s="4"/>
      <c r="R14" s="2">
        <f ca="1">IF(HRTable[[#This Row],[DueDate]]="", "", MAX(0, IF(HRTable[[#This Row],[CompletedDate]]="", TODAY()-HRTable[[#This Row],[DueDate]], HRTable[[#This Row],[CompletedDate]]-HRTable[[#This Row],[DueDate]])))</f>
        <v>1</v>
      </c>
    </row>
    <row r="15" spans="1:18">
      <c r="A15" t="s">
        <v>53</v>
      </c>
      <c r="B15" t="s">
        <v>54</v>
      </c>
      <c r="C15" t="s">
        <v>55</v>
      </c>
      <c r="D15" s="1">
        <v>45665</v>
      </c>
      <c r="E15" t="s">
        <v>56</v>
      </c>
      <c r="F15" t="s">
        <v>22</v>
      </c>
      <c r="G15" t="s">
        <v>23</v>
      </c>
      <c r="H15" s="1">
        <v>45671</v>
      </c>
      <c r="I15" s="1">
        <v>45673</v>
      </c>
      <c r="J15" t="s">
        <v>42</v>
      </c>
      <c r="L15" t="s">
        <v>25</v>
      </c>
      <c r="M15" t="s">
        <v>48</v>
      </c>
      <c r="O15" s="3"/>
      <c r="P15" s="3"/>
      <c r="Q15" s="4"/>
      <c r="R15" s="2">
        <f ca="1">IF(HRTable[[#This Row],[DueDate]]="", "", MAX(0, IF(HRTable[[#This Row],[CompletedDate]]="", TODAY()-HRTable[[#This Row],[DueDate]], HRTable[[#This Row],[CompletedDate]]-HRTable[[#This Row],[DueDate]])))</f>
        <v>2</v>
      </c>
    </row>
    <row r="16" spans="1:18">
      <c r="A16" t="s">
        <v>53</v>
      </c>
      <c r="B16" t="s">
        <v>54</v>
      </c>
      <c r="C16" t="s">
        <v>55</v>
      </c>
      <c r="D16" s="1">
        <v>45665</v>
      </c>
      <c r="E16" t="s">
        <v>56</v>
      </c>
      <c r="F16" t="s">
        <v>59</v>
      </c>
      <c r="G16" t="s">
        <v>23</v>
      </c>
      <c r="H16" s="1">
        <v>45679</v>
      </c>
      <c r="I16" s="1">
        <v>45666</v>
      </c>
      <c r="J16" t="s">
        <v>42</v>
      </c>
      <c r="L16" t="s">
        <v>28</v>
      </c>
      <c r="M16" t="s">
        <v>29</v>
      </c>
      <c r="O16" s="3"/>
      <c r="P16" s="3"/>
      <c r="Q16" s="4"/>
      <c r="R16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7" spans="1:18">
      <c r="A17" t="s">
        <v>53</v>
      </c>
      <c r="B17" t="s">
        <v>54</v>
      </c>
      <c r="C17" t="s">
        <v>55</v>
      </c>
      <c r="D17" s="1">
        <v>45665</v>
      </c>
      <c r="E17" t="s">
        <v>56</v>
      </c>
      <c r="F17" t="s">
        <v>60</v>
      </c>
      <c r="G17" t="s">
        <v>23</v>
      </c>
      <c r="H17" s="1">
        <v>45671</v>
      </c>
      <c r="I17" s="1">
        <v>45668</v>
      </c>
      <c r="J17" t="s">
        <v>42</v>
      </c>
      <c r="L17" t="s">
        <v>61</v>
      </c>
      <c r="M17" t="s">
        <v>48</v>
      </c>
      <c r="O17" s="3"/>
      <c r="P17" s="3"/>
      <c r="Q17" s="4"/>
      <c r="R17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8" spans="1:18">
      <c r="A18" t="s">
        <v>62</v>
      </c>
      <c r="B18" t="s">
        <v>63</v>
      </c>
      <c r="C18" t="s">
        <v>64</v>
      </c>
      <c r="D18" s="1">
        <v>45697</v>
      </c>
      <c r="E18" t="s">
        <v>65</v>
      </c>
      <c r="F18" t="s">
        <v>60</v>
      </c>
      <c r="G18" t="s">
        <v>23</v>
      </c>
      <c r="H18" s="1">
        <v>45703</v>
      </c>
      <c r="I18" s="1"/>
      <c r="J18" t="s">
        <v>40</v>
      </c>
      <c r="L18" t="s">
        <v>61</v>
      </c>
      <c r="M18" t="s">
        <v>26</v>
      </c>
      <c r="N18" t="s">
        <v>40</v>
      </c>
      <c r="O18" s="3"/>
      <c r="P18" s="3"/>
      <c r="Q18" s="4"/>
      <c r="R18" s="2">
        <f ca="1">IF(HRTable[[#This Row],[DueDate]]="", "", MAX(0, IF(HRTable[[#This Row],[CompletedDate]]="", TODAY()-HRTable[[#This Row],[DueDate]], HRTable[[#This Row],[CompletedDate]]-HRTable[[#This Row],[DueDate]])))</f>
        <v>337</v>
      </c>
    </row>
    <row r="19" spans="1:18">
      <c r="A19" t="s">
        <v>62</v>
      </c>
      <c r="B19" t="s">
        <v>63</v>
      </c>
      <c r="C19" t="s">
        <v>64</v>
      </c>
      <c r="D19" s="1">
        <v>45697</v>
      </c>
      <c r="E19" t="s">
        <v>65</v>
      </c>
      <c r="F19" t="s">
        <v>66</v>
      </c>
      <c r="G19" t="s">
        <v>20</v>
      </c>
      <c r="H19" s="1">
        <v>45710</v>
      </c>
      <c r="I19" s="1"/>
      <c r="J19" t="s">
        <v>40</v>
      </c>
      <c r="L19" t="s">
        <v>28</v>
      </c>
      <c r="M19" t="s">
        <v>29</v>
      </c>
      <c r="N19" t="s">
        <v>40</v>
      </c>
      <c r="O19" s="3"/>
      <c r="P19" s="3"/>
      <c r="Q19" s="4"/>
      <c r="R19" s="2">
        <f ca="1">IF(HRTable[[#This Row],[DueDate]]="", "", MAX(0, IF(HRTable[[#This Row],[CompletedDate]]="", TODAY()-HRTable[[#This Row],[DueDate]], HRTable[[#This Row],[CompletedDate]]-HRTable[[#This Row],[DueDate]])))</f>
        <v>330</v>
      </c>
    </row>
    <row r="20" spans="1:18">
      <c r="A20" t="s">
        <v>62</v>
      </c>
      <c r="B20" t="s">
        <v>63</v>
      </c>
      <c r="C20" t="s">
        <v>64</v>
      </c>
      <c r="D20" s="1">
        <v>45697</v>
      </c>
      <c r="E20" t="s">
        <v>65</v>
      </c>
      <c r="F20" t="s">
        <v>30</v>
      </c>
      <c r="G20" t="s">
        <v>4</v>
      </c>
      <c r="H20" s="1">
        <v>45703</v>
      </c>
      <c r="I20" s="1"/>
      <c r="J20" t="s">
        <v>40</v>
      </c>
      <c r="L20" t="s">
        <v>28</v>
      </c>
      <c r="M20" t="s">
        <v>29</v>
      </c>
      <c r="N20" t="s">
        <v>40</v>
      </c>
      <c r="O20" s="3"/>
      <c r="P20" s="3"/>
      <c r="Q20" s="4"/>
      <c r="R20" s="2">
        <f ca="1">IF(HRTable[[#This Row],[DueDate]]="", "", MAX(0, IF(HRTable[[#This Row],[CompletedDate]]="", TODAY()-HRTable[[#This Row],[DueDate]], HRTable[[#This Row],[CompletedDate]]-HRTable[[#This Row],[DueDate]])))</f>
        <v>337</v>
      </c>
    </row>
    <row r="21" spans="1:18">
      <c r="A21" t="s">
        <v>62</v>
      </c>
      <c r="B21" t="s">
        <v>63</v>
      </c>
      <c r="C21" t="s">
        <v>64</v>
      </c>
      <c r="D21" s="1">
        <v>45697</v>
      </c>
      <c r="E21" t="s">
        <v>65</v>
      </c>
      <c r="F21" t="s">
        <v>49</v>
      </c>
      <c r="G21" t="s">
        <v>39</v>
      </c>
      <c r="H21" s="1">
        <v>45708</v>
      </c>
      <c r="I21" s="1"/>
      <c r="J21" t="s">
        <v>24</v>
      </c>
      <c r="L21" t="s">
        <v>28</v>
      </c>
      <c r="M21" t="s">
        <v>29</v>
      </c>
      <c r="N21" t="s">
        <v>24</v>
      </c>
      <c r="O21" s="3"/>
      <c r="P21" s="3"/>
      <c r="Q21" s="4"/>
      <c r="R21" s="2">
        <f ca="1">IF(HRTable[[#This Row],[DueDate]]="", "", MAX(0, IF(HRTable[[#This Row],[CompletedDate]]="", TODAY()-HRTable[[#This Row],[DueDate]], HRTable[[#This Row],[CompletedDate]]-HRTable[[#This Row],[DueDate]])))</f>
        <v>332</v>
      </c>
    </row>
    <row r="22" spans="1:18">
      <c r="A22" t="s">
        <v>67</v>
      </c>
      <c r="B22" t="s">
        <v>68</v>
      </c>
      <c r="C22" t="s">
        <v>46</v>
      </c>
      <c r="D22" s="1">
        <v>45905</v>
      </c>
      <c r="E22" t="s">
        <v>69</v>
      </c>
      <c r="F22" t="s">
        <v>70</v>
      </c>
      <c r="G22" t="s">
        <v>4</v>
      </c>
      <c r="H22" s="1">
        <v>45912</v>
      </c>
      <c r="I22" s="1">
        <v>45908</v>
      </c>
      <c r="J22" t="s">
        <v>42</v>
      </c>
      <c r="L22" t="s">
        <v>28</v>
      </c>
      <c r="M22" t="s">
        <v>29</v>
      </c>
      <c r="O22" s="3"/>
      <c r="P22" s="3"/>
      <c r="Q22" s="4"/>
      <c r="R22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23" spans="1:18">
      <c r="A23" t="s">
        <v>67</v>
      </c>
      <c r="B23" t="s">
        <v>68</v>
      </c>
      <c r="C23" t="s">
        <v>46</v>
      </c>
      <c r="D23" s="1">
        <v>45905</v>
      </c>
      <c r="E23" t="s">
        <v>69</v>
      </c>
      <c r="F23" t="s">
        <v>27</v>
      </c>
      <c r="G23" t="s">
        <v>4</v>
      </c>
      <c r="H23" s="1">
        <v>45913</v>
      </c>
      <c r="I23" s="1">
        <v>45911</v>
      </c>
      <c r="J23" t="s">
        <v>42</v>
      </c>
      <c r="L23" t="s">
        <v>28</v>
      </c>
      <c r="M23" t="s">
        <v>29</v>
      </c>
      <c r="N23" t="s">
        <v>71</v>
      </c>
      <c r="O23" s="3"/>
      <c r="P23" s="3"/>
      <c r="Q23" s="4"/>
      <c r="R23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24" spans="1:18">
      <c r="A24" t="s">
        <v>67</v>
      </c>
      <c r="B24" t="s">
        <v>68</v>
      </c>
      <c r="C24" t="s">
        <v>46</v>
      </c>
      <c r="D24" s="1">
        <v>45905</v>
      </c>
      <c r="E24" t="s">
        <v>69</v>
      </c>
      <c r="F24" t="s">
        <v>57</v>
      </c>
      <c r="G24" t="s">
        <v>35</v>
      </c>
      <c r="H24" s="1">
        <v>45909</v>
      </c>
      <c r="I24" s="1">
        <v>45911</v>
      </c>
      <c r="J24" t="s">
        <v>42</v>
      </c>
      <c r="L24" t="s">
        <v>28</v>
      </c>
      <c r="M24" t="s">
        <v>29</v>
      </c>
      <c r="N24" t="s">
        <v>58</v>
      </c>
      <c r="O24" s="3"/>
      <c r="P24" s="3"/>
      <c r="Q24" s="4"/>
      <c r="R24" s="2">
        <f ca="1">IF(HRTable[[#This Row],[DueDate]]="", "", MAX(0, IF(HRTable[[#This Row],[CompletedDate]]="", TODAY()-HRTable[[#This Row],[DueDate]], HRTable[[#This Row],[CompletedDate]]-HRTable[[#This Row],[DueDate]])))</f>
        <v>2</v>
      </c>
    </row>
    <row r="25" spans="1:18">
      <c r="A25" t="s">
        <v>67</v>
      </c>
      <c r="B25" t="s">
        <v>68</v>
      </c>
      <c r="C25" t="s">
        <v>46</v>
      </c>
      <c r="D25" s="1">
        <v>45905</v>
      </c>
      <c r="E25" t="s">
        <v>69</v>
      </c>
      <c r="F25" t="s">
        <v>72</v>
      </c>
      <c r="G25" t="s">
        <v>23</v>
      </c>
      <c r="H25" s="1">
        <v>45918</v>
      </c>
      <c r="I25" s="1"/>
      <c r="J25" t="s">
        <v>40</v>
      </c>
      <c r="L25" t="s">
        <v>73</v>
      </c>
      <c r="M25" t="s">
        <v>26</v>
      </c>
      <c r="N25" t="s">
        <v>40</v>
      </c>
      <c r="O25" s="3"/>
      <c r="P25" s="3"/>
      <c r="Q25" s="4"/>
      <c r="R25" s="2">
        <f ca="1">IF(HRTable[[#This Row],[DueDate]]="", "", MAX(0, IF(HRTable[[#This Row],[CompletedDate]]="", TODAY()-HRTable[[#This Row],[DueDate]], HRTable[[#This Row],[CompletedDate]]-HRTable[[#This Row],[DueDate]])))</f>
        <v>122</v>
      </c>
    </row>
    <row r="26" spans="1:18">
      <c r="A26" t="s">
        <v>74</v>
      </c>
      <c r="B26" t="s">
        <v>68</v>
      </c>
      <c r="C26" t="s">
        <v>46</v>
      </c>
      <c r="D26" s="1">
        <v>45924</v>
      </c>
      <c r="E26" t="s">
        <v>47</v>
      </c>
      <c r="F26" t="s">
        <v>41</v>
      </c>
      <c r="G26" t="s">
        <v>35</v>
      </c>
      <c r="H26" s="1">
        <v>45929</v>
      </c>
      <c r="I26" s="1"/>
      <c r="J26" t="s">
        <v>31</v>
      </c>
      <c r="K26" t="s">
        <v>32</v>
      </c>
      <c r="L26" t="s">
        <v>28</v>
      </c>
      <c r="M26" t="s">
        <v>29</v>
      </c>
      <c r="N26" t="s">
        <v>33</v>
      </c>
      <c r="O26" s="3"/>
      <c r="P26" s="3"/>
      <c r="Q26" s="4"/>
      <c r="R26" s="2">
        <f ca="1">IF(HRTable[[#This Row],[DueDate]]="", "", MAX(0, IF(HRTable[[#This Row],[CompletedDate]]="", TODAY()-HRTable[[#This Row],[DueDate]], HRTable[[#This Row],[CompletedDate]]-HRTable[[#This Row],[DueDate]])))</f>
        <v>111</v>
      </c>
    </row>
    <row r="27" spans="1:18">
      <c r="A27" t="s">
        <v>74</v>
      </c>
      <c r="B27" t="s">
        <v>68</v>
      </c>
      <c r="C27" t="s">
        <v>46</v>
      </c>
      <c r="D27" s="1">
        <v>45924</v>
      </c>
      <c r="E27" t="s">
        <v>47</v>
      </c>
      <c r="F27" t="s">
        <v>66</v>
      </c>
      <c r="G27" t="s">
        <v>20</v>
      </c>
      <c r="H27" s="1">
        <v>45935</v>
      </c>
      <c r="I27" s="1">
        <v>45926</v>
      </c>
      <c r="J27" t="s">
        <v>42</v>
      </c>
      <c r="L27" t="s">
        <v>28</v>
      </c>
      <c r="M27" t="s">
        <v>29</v>
      </c>
      <c r="O27" s="3"/>
      <c r="P27" s="3"/>
      <c r="Q27" s="4"/>
      <c r="R27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28" spans="1:18">
      <c r="A28" t="s">
        <v>74</v>
      </c>
      <c r="B28" t="s">
        <v>68</v>
      </c>
      <c r="C28" t="s">
        <v>46</v>
      </c>
      <c r="D28" s="1">
        <v>45924</v>
      </c>
      <c r="E28" t="s">
        <v>47</v>
      </c>
      <c r="F28" t="s">
        <v>66</v>
      </c>
      <c r="G28" t="s">
        <v>20</v>
      </c>
      <c r="H28" s="1">
        <v>45935</v>
      </c>
      <c r="I28" s="1">
        <v>45931</v>
      </c>
      <c r="J28" t="s">
        <v>42</v>
      </c>
      <c r="L28" t="s">
        <v>28</v>
      </c>
      <c r="M28" t="s">
        <v>29</v>
      </c>
      <c r="N28" t="s">
        <v>75</v>
      </c>
      <c r="O28" s="3"/>
      <c r="P28" s="3"/>
      <c r="Q28" s="4"/>
      <c r="R28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29" spans="1:18">
      <c r="A29" t="s">
        <v>74</v>
      </c>
      <c r="B29" t="s">
        <v>68</v>
      </c>
      <c r="C29" t="s">
        <v>46</v>
      </c>
      <c r="D29" s="1">
        <v>45924</v>
      </c>
      <c r="E29" t="s">
        <v>47</v>
      </c>
      <c r="F29" t="s">
        <v>38</v>
      </c>
      <c r="G29" t="s">
        <v>39</v>
      </c>
      <c r="H29" s="1">
        <v>45928</v>
      </c>
      <c r="I29" s="1"/>
      <c r="J29" t="s">
        <v>31</v>
      </c>
      <c r="K29" t="s">
        <v>76</v>
      </c>
      <c r="L29" t="s">
        <v>28</v>
      </c>
      <c r="M29" t="s">
        <v>29</v>
      </c>
      <c r="N29" t="s">
        <v>77</v>
      </c>
      <c r="O29" s="3"/>
      <c r="P29" s="3"/>
      <c r="Q29" s="4"/>
      <c r="R29" s="2">
        <f ca="1">IF(HRTable[[#This Row],[DueDate]]="", "", MAX(0, IF(HRTable[[#This Row],[CompletedDate]]="", TODAY()-HRTable[[#This Row],[DueDate]], HRTable[[#This Row],[CompletedDate]]-HRTable[[#This Row],[DueDate]])))</f>
        <v>112</v>
      </c>
    </row>
    <row r="30" spans="1:18">
      <c r="A30" t="s">
        <v>78</v>
      </c>
      <c r="B30" t="s">
        <v>79</v>
      </c>
      <c r="C30" t="s">
        <v>35</v>
      </c>
      <c r="D30" s="1">
        <v>45679</v>
      </c>
      <c r="E30" t="s">
        <v>80</v>
      </c>
      <c r="F30" t="s">
        <v>57</v>
      </c>
      <c r="G30" t="s">
        <v>35</v>
      </c>
      <c r="H30" s="1">
        <v>45685</v>
      </c>
      <c r="I30" s="1">
        <v>45684</v>
      </c>
      <c r="J30" t="s">
        <v>42</v>
      </c>
      <c r="L30" t="s">
        <v>28</v>
      </c>
      <c r="M30" t="s">
        <v>29</v>
      </c>
      <c r="N30" t="s">
        <v>58</v>
      </c>
      <c r="O30" s="3"/>
      <c r="P30" s="3"/>
      <c r="Q30" s="4"/>
      <c r="R30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31" spans="1:18">
      <c r="A31" t="s">
        <v>78</v>
      </c>
      <c r="B31" t="s">
        <v>79</v>
      </c>
      <c r="C31" t="s">
        <v>35</v>
      </c>
      <c r="D31" s="1">
        <v>45679</v>
      </c>
      <c r="E31" t="s">
        <v>80</v>
      </c>
      <c r="F31" t="s">
        <v>81</v>
      </c>
      <c r="G31" t="s">
        <v>23</v>
      </c>
      <c r="H31" s="1">
        <v>45689</v>
      </c>
      <c r="I31" s="1">
        <v>45687</v>
      </c>
      <c r="J31" t="s">
        <v>42</v>
      </c>
      <c r="L31" t="s">
        <v>82</v>
      </c>
      <c r="M31" t="s">
        <v>48</v>
      </c>
      <c r="O31" s="3"/>
      <c r="P31" s="3"/>
      <c r="Q31" s="4"/>
      <c r="R31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32" spans="1:18">
      <c r="A32" t="s">
        <v>78</v>
      </c>
      <c r="B32" t="s">
        <v>79</v>
      </c>
      <c r="C32" t="s">
        <v>35</v>
      </c>
      <c r="D32" s="1">
        <v>45679</v>
      </c>
      <c r="E32" t="s">
        <v>80</v>
      </c>
      <c r="F32" t="s">
        <v>70</v>
      </c>
      <c r="G32" t="s">
        <v>4</v>
      </c>
      <c r="H32" s="1">
        <v>45693</v>
      </c>
      <c r="I32" s="1"/>
      <c r="J32" t="s">
        <v>40</v>
      </c>
      <c r="L32" t="s">
        <v>28</v>
      </c>
      <c r="M32" t="s">
        <v>29</v>
      </c>
      <c r="N32" t="s">
        <v>40</v>
      </c>
      <c r="O32" s="3"/>
      <c r="P32" s="3"/>
      <c r="Q32" s="4"/>
      <c r="R32" s="2">
        <f ca="1">IF(HRTable[[#This Row],[DueDate]]="", "", MAX(0, IF(HRTable[[#This Row],[CompletedDate]]="", TODAY()-HRTable[[#This Row],[DueDate]], HRTable[[#This Row],[CompletedDate]]-HRTable[[#This Row],[DueDate]])))</f>
        <v>347</v>
      </c>
    </row>
    <row r="33" spans="1:18">
      <c r="A33" t="s">
        <v>78</v>
      </c>
      <c r="B33" t="s">
        <v>79</v>
      </c>
      <c r="C33" t="s">
        <v>35</v>
      </c>
      <c r="D33" s="1">
        <v>45679</v>
      </c>
      <c r="E33" t="s">
        <v>80</v>
      </c>
      <c r="F33" t="s">
        <v>38</v>
      </c>
      <c r="G33" t="s">
        <v>39</v>
      </c>
      <c r="H33" s="1">
        <v>45683</v>
      </c>
      <c r="I33" s="1">
        <v>45681</v>
      </c>
      <c r="J33" t="s">
        <v>42</v>
      </c>
      <c r="L33" t="s">
        <v>28</v>
      </c>
      <c r="M33" t="s">
        <v>29</v>
      </c>
      <c r="O33" s="3"/>
      <c r="P33" s="3"/>
      <c r="Q33" s="4"/>
      <c r="R33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34" spans="1:18">
      <c r="A34" t="s">
        <v>83</v>
      </c>
      <c r="B34" t="s">
        <v>84</v>
      </c>
      <c r="C34" t="s">
        <v>46</v>
      </c>
      <c r="D34" s="1">
        <v>45698</v>
      </c>
      <c r="E34" t="s">
        <v>69</v>
      </c>
      <c r="F34" t="s">
        <v>85</v>
      </c>
      <c r="G34" t="s">
        <v>64</v>
      </c>
      <c r="H34" s="1">
        <v>45704</v>
      </c>
      <c r="I34" s="1"/>
      <c r="J34" t="s">
        <v>31</v>
      </c>
      <c r="K34" t="s">
        <v>76</v>
      </c>
      <c r="L34" t="s">
        <v>28</v>
      </c>
      <c r="M34" t="s">
        <v>29</v>
      </c>
      <c r="N34" t="s">
        <v>77</v>
      </c>
      <c r="O34" s="3"/>
      <c r="P34" s="3"/>
      <c r="Q34" s="4"/>
      <c r="R34" s="2">
        <f ca="1">IF(HRTable[[#This Row],[DueDate]]="", "", MAX(0, IF(HRTable[[#This Row],[CompletedDate]]="", TODAY()-HRTable[[#This Row],[DueDate]], HRTable[[#This Row],[CompletedDate]]-HRTable[[#This Row],[DueDate]])))</f>
        <v>336</v>
      </c>
    </row>
    <row r="35" spans="1:18">
      <c r="A35" t="s">
        <v>83</v>
      </c>
      <c r="B35" t="s">
        <v>84</v>
      </c>
      <c r="C35" t="s">
        <v>46</v>
      </c>
      <c r="D35" s="1">
        <v>45698</v>
      </c>
      <c r="E35" t="s">
        <v>69</v>
      </c>
      <c r="F35" t="s">
        <v>49</v>
      </c>
      <c r="G35" t="s">
        <v>39</v>
      </c>
      <c r="H35" s="1">
        <v>45708</v>
      </c>
      <c r="I35" s="1"/>
      <c r="J35" t="s">
        <v>42</v>
      </c>
      <c r="L35" t="s">
        <v>28</v>
      </c>
      <c r="M35" t="s">
        <v>29</v>
      </c>
      <c r="N35" t="s">
        <v>43</v>
      </c>
      <c r="O35" s="3"/>
      <c r="P35" s="3"/>
      <c r="Q35" s="4"/>
      <c r="R35" s="2">
        <f ca="1">IF(HRTable[[#This Row],[DueDate]]="", "", MAX(0, IF(HRTable[[#This Row],[CompletedDate]]="", TODAY()-HRTable[[#This Row],[DueDate]], HRTable[[#This Row],[CompletedDate]]-HRTable[[#This Row],[DueDate]])))</f>
        <v>332</v>
      </c>
    </row>
    <row r="36" spans="1:18">
      <c r="A36" t="s">
        <v>83</v>
      </c>
      <c r="B36" t="s">
        <v>84</v>
      </c>
      <c r="C36" t="s">
        <v>46</v>
      </c>
      <c r="D36" s="1">
        <v>45698</v>
      </c>
      <c r="E36" t="s">
        <v>69</v>
      </c>
      <c r="F36" t="s">
        <v>27</v>
      </c>
      <c r="G36" t="s">
        <v>4</v>
      </c>
      <c r="H36" s="1">
        <v>45704</v>
      </c>
      <c r="I36" s="1">
        <v>45704</v>
      </c>
      <c r="J36" t="s">
        <v>42</v>
      </c>
      <c r="L36" t="s">
        <v>28</v>
      </c>
      <c r="M36" t="s">
        <v>29</v>
      </c>
      <c r="N36" t="s">
        <v>71</v>
      </c>
      <c r="O36" s="3"/>
      <c r="P36" s="3"/>
      <c r="Q36" s="4"/>
      <c r="R36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37" spans="1:18">
      <c r="A37" t="s">
        <v>83</v>
      </c>
      <c r="B37" t="s">
        <v>84</v>
      </c>
      <c r="C37" t="s">
        <v>46</v>
      </c>
      <c r="D37" s="1">
        <v>45698</v>
      </c>
      <c r="E37" t="s">
        <v>69</v>
      </c>
      <c r="F37" t="s">
        <v>59</v>
      </c>
      <c r="G37" t="s">
        <v>23</v>
      </c>
      <c r="H37" s="1">
        <v>45703</v>
      </c>
      <c r="I37" s="1"/>
      <c r="J37" t="s">
        <v>40</v>
      </c>
      <c r="L37" t="s">
        <v>28</v>
      </c>
      <c r="M37" t="s">
        <v>29</v>
      </c>
      <c r="N37" t="s">
        <v>40</v>
      </c>
      <c r="O37" s="3"/>
      <c r="P37" s="3"/>
      <c r="Q37" s="4"/>
      <c r="R37" s="2">
        <f ca="1">IF(HRTable[[#This Row],[DueDate]]="", "", MAX(0, IF(HRTable[[#This Row],[CompletedDate]]="", TODAY()-HRTable[[#This Row],[DueDate]], HRTable[[#This Row],[CompletedDate]]-HRTable[[#This Row],[DueDate]])))</f>
        <v>337</v>
      </c>
    </row>
    <row r="38" spans="1:18">
      <c r="A38" t="s">
        <v>86</v>
      </c>
      <c r="B38" t="s">
        <v>87</v>
      </c>
      <c r="C38" t="s">
        <v>55</v>
      </c>
      <c r="D38" s="1">
        <v>46010</v>
      </c>
      <c r="E38" t="s">
        <v>56</v>
      </c>
      <c r="F38" t="s">
        <v>88</v>
      </c>
      <c r="G38" t="s">
        <v>89</v>
      </c>
      <c r="H38" s="1">
        <v>46022</v>
      </c>
      <c r="I38" s="1"/>
      <c r="J38" t="s">
        <v>31</v>
      </c>
      <c r="K38" t="s">
        <v>90</v>
      </c>
      <c r="L38" t="s">
        <v>91</v>
      </c>
      <c r="M38" t="s">
        <v>26</v>
      </c>
      <c r="N38" t="s">
        <v>92</v>
      </c>
      <c r="O38" s="3"/>
      <c r="P38" s="3"/>
      <c r="Q38" s="4"/>
      <c r="R38" s="2">
        <f ca="1">IF(HRTable[[#This Row],[DueDate]]="", "", MAX(0, IF(HRTable[[#This Row],[CompletedDate]]="", TODAY()-HRTable[[#This Row],[DueDate]], HRTable[[#This Row],[CompletedDate]]-HRTable[[#This Row],[DueDate]])))</f>
        <v>18</v>
      </c>
    </row>
    <row r="39" spans="1:18">
      <c r="A39" t="s">
        <v>86</v>
      </c>
      <c r="B39" t="s">
        <v>87</v>
      </c>
      <c r="C39" t="s">
        <v>55</v>
      </c>
      <c r="D39" s="1">
        <v>46010</v>
      </c>
      <c r="E39" t="s">
        <v>56</v>
      </c>
      <c r="F39" t="s">
        <v>27</v>
      </c>
      <c r="G39" t="s">
        <v>4</v>
      </c>
      <c r="H39" s="1">
        <v>46022</v>
      </c>
      <c r="I39" s="1">
        <v>46021</v>
      </c>
      <c r="J39" t="s">
        <v>42</v>
      </c>
      <c r="L39" t="s">
        <v>28</v>
      </c>
      <c r="M39" t="s">
        <v>29</v>
      </c>
      <c r="N39" t="s">
        <v>71</v>
      </c>
      <c r="O39" s="3"/>
      <c r="P39" s="3"/>
      <c r="Q39" s="4"/>
      <c r="R39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40" spans="1:18">
      <c r="A40" t="s">
        <v>86</v>
      </c>
      <c r="B40" t="s">
        <v>87</v>
      </c>
      <c r="C40" t="s">
        <v>55</v>
      </c>
      <c r="D40" s="1">
        <v>46010</v>
      </c>
      <c r="E40" t="s">
        <v>56</v>
      </c>
      <c r="F40" t="s">
        <v>66</v>
      </c>
      <c r="G40" t="s">
        <v>20</v>
      </c>
      <c r="H40" s="1">
        <v>46015</v>
      </c>
      <c r="I40" s="1"/>
      <c r="J40" t="s">
        <v>42</v>
      </c>
      <c r="L40" t="s">
        <v>28</v>
      </c>
      <c r="M40" t="s">
        <v>29</v>
      </c>
      <c r="N40" t="s">
        <v>43</v>
      </c>
      <c r="O40" s="3"/>
      <c r="P40" s="3"/>
      <c r="Q40" s="4"/>
      <c r="R40" s="2">
        <f ca="1">IF(HRTable[[#This Row],[DueDate]]="", "", MAX(0, IF(HRTable[[#This Row],[CompletedDate]]="", TODAY()-HRTable[[#This Row],[DueDate]], HRTable[[#This Row],[CompletedDate]]-HRTable[[#This Row],[DueDate]])))</f>
        <v>25</v>
      </c>
    </row>
    <row r="41" spans="1:18">
      <c r="A41" t="s">
        <v>86</v>
      </c>
      <c r="B41" t="s">
        <v>87</v>
      </c>
      <c r="C41" t="s">
        <v>55</v>
      </c>
      <c r="D41" s="1">
        <v>46010</v>
      </c>
      <c r="E41" t="s">
        <v>56</v>
      </c>
      <c r="F41" t="s">
        <v>66</v>
      </c>
      <c r="G41" t="s">
        <v>20</v>
      </c>
      <c r="H41" s="1">
        <v>46015</v>
      </c>
      <c r="I41" s="1"/>
      <c r="J41" t="s">
        <v>24</v>
      </c>
      <c r="L41" t="s">
        <v>28</v>
      </c>
      <c r="M41" t="s">
        <v>29</v>
      </c>
      <c r="N41" t="s">
        <v>93</v>
      </c>
      <c r="O41" s="3"/>
      <c r="P41" s="3"/>
      <c r="Q41" s="4"/>
      <c r="R41" s="2">
        <f ca="1">IF(HRTable[[#This Row],[DueDate]]="", "", MAX(0, IF(HRTable[[#This Row],[CompletedDate]]="", TODAY()-HRTable[[#This Row],[DueDate]], HRTable[[#This Row],[CompletedDate]]-HRTable[[#This Row],[DueDate]])))</f>
        <v>25</v>
      </c>
    </row>
    <row r="42" spans="1:18">
      <c r="A42" t="s">
        <v>94</v>
      </c>
      <c r="B42" t="s">
        <v>19</v>
      </c>
      <c r="C42" t="s">
        <v>20</v>
      </c>
      <c r="D42" s="1">
        <v>45790</v>
      </c>
      <c r="E42" t="s">
        <v>21</v>
      </c>
      <c r="F42" t="s">
        <v>22</v>
      </c>
      <c r="G42" t="s">
        <v>23</v>
      </c>
      <c r="H42" s="1">
        <v>45808</v>
      </c>
      <c r="I42" s="1"/>
      <c r="J42" t="s">
        <v>40</v>
      </c>
      <c r="L42" t="s">
        <v>25</v>
      </c>
      <c r="M42" t="s">
        <v>26</v>
      </c>
      <c r="N42" t="s">
        <v>40</v>
      </c>
      <c r="O42" s="3"/>
      <c r="P42" s="3"/>
      <c r="Q42" s="4"/>
      <c r="R42" s="2">
        <f ca="1">IF(HRTable[[#This Row],[DueDate]]="", "", MAX(0, IF(HRTable[[#This Row],[CompletedDate]]="", TODAY()-HRTable[[#This Row],[DueDate]], HRTable[[#This Row],[CompletedDate]]-HRTable[[#This Row],[DueDate]])))</f>
        <v>232</v>
      </c>
    </row>
    <row r="43" spans="1:18">
      <c r="A43" t="s">
        <v>94</v>
      </c>
      <c r="B43" t="s">
        <v>19</v>
      </c>
      <c r="C43" t="s">
        <v>20</v>
      </c>
      <c r="D43" s="1">
        <v>45790</v>
      </c>
      <c r="E43" t="s">
        <v>21</v>
      </c>
      <c r="F43" t="s">
        <v>52</v>
      </c>
      <c r="G43" t="s">
        <v>20</v>
      </c>
      <c r="H43" s="1">
        <v>45800</v>
      </c>
      <c r="I43" s="1"/>
      <c r="J43" t="s">
        <v>24</v>
      </c>
      <c r="L43" t="s">
        <v>28</v>
      </c>
      <c r="M43" t="s">
        <v>29</v>
      </c>
      <c r="N43" t="s">
        <v>24</v>
      </c>
      <c r="O43" s="3"/>
      <c r="P43" s="3"/>
      <c r="Q43" s="4"/>
      <c r="R43" s="2">
        <f ca="1">IF(HRTable[[#This Row],[DueDate]]="", "", MAX(0, IF(HRTable[[#This Row],[CompletedDate]]="", TODAY()-HRTable[[#This Row],[DueDate]], HRTable[[#This Row],[CompletedDate]]-HRTable[[#This Row],[DueDate]])))</f>
        <v>240</v>
      </c>
    </row>
    <row r="44" spans="1:18">
      <c r="A44" t="s">
        <v>94</v>
      </c>
      <c r="B44" t="s">
        <v>19</v>
      </c>
      <c r="C44" t="s">
        <v>20</v>
      </c>
      <c r="D44" s="1">
        <v>45790</v>
      </c>
      <c r="E44" t="s">
        <v>21</v>
      </c>
      <c r="F44" t="s">
        <v>59</v>
      </c>
      <c r="G44" t="s">
        <v>23</v>
      </c>
      <c r="H44" s="1">
        <v>45803</v>
      </c>
      <c r="I44" s="1"/>
      <c r="J44" t="s">
        <v>31</v>
      </c>
      <c r="K44" t="s">
        <v>90</v>
      </c>
      <c r="L44" t="s">
        <v>28</v>
      </c>
      <c r="M44" t="s">
        <v>29</v>
      </c>
      <c r="N44" t="s">
        <v>92</v>
      </c>
      <c r="O44" s="3"/>
      <c r="P44" s="3"/>
      <c r="Q44" s="4"/>
      <c r="R44" s="2">
        <f ca="1">IF(HRTable[[#This Row],[DueDate]]="", "", MAX(0, IF(HRTable[[#This Row],[CompletedDate]]="", TODAY()-HRTable[[#This Row],[DueDate]], HRTable[[#This Row],[CompletedDate]]-HRTable[[#This Row],[DueDate]])))</f>
        <v>237</v>
      </c>
    </row>
    <row r="45" spans="1:18">
      <c r="A45" t="s">
        <v>94</v>
      </c>
      <c r="B45" t="s">
        <v>19</v>
      </c>
      <c r="C45" t="s">
        <v>20</v>
      </c>
      <c r="D45" s="1">
        <v>45790</v>
      </c>
      <c r="E45" t="s">
        <v>21</v>
      </c>
      <c r="F45" t="s">
        <v>38</v>
      </c>
      <c r="G45" t="s">
        <v>39</v>
      </c>
      <c r="H45" s="1">
        <v>45792</v>
      </c>
      <c r="I45" s="1">
        <v>45794</v>
      </c>
      <c r="J45" t="s">
        <v>42</v>
      </c>
      <c r="L45" t="s">
        <v>28</v>
      </c>
      <c r="M45" t="s">
        <v>29</v>
      </c>
      <c r="O45" s="3"/>
      <c r="P45" s="3"/>
      <c r="Q45" s="4"/>
      <c r="R45" s="2">
        <f ca="1">IF(HRTable[[#This Row],[DueDate]]="", "", MAX(0, IF(HRTable[[#This Row],[CompletedDate]]="", TODAY()-HRTable[[#This Row],[DueDate]], HRTable[[#This Row],[CompletedDate]]-HRTable[[#This Row],[DueDate]])))</f>
        <v>2</v>
      </c>
    </row>
    <row r="46" spans="1:18">
      <c r="A46" t="s">
        <v>95</v>
      </c>
      <c r="B46" t="s">
        <v>96</v>
      </c>
      <c r="C46" t="s">
        <v>97</v>
      </c>
      <c r="D46" s="1">
        <v>45789</v>
      </c>
      <c r="E46" t="s">
        <v>98</v>
      </c>
      <c r="F46" t="s">
        <v>60</v>
      </c>
      <c r="G46" t="s">
        <v>23</v>
      </c>
      <c r="H46" s="1">
        <v>45803</v>
      </c>
      <c r="I46" s="1">
        <v>45803</v>
      </c>
      <c r="J46" t="s">
        <v>42</v>
      </c>
      <c r="L46" t="s">
        <v>61</v>
      </c>
      <c r="M46" t="s">
        <v>48</v>
      </c>
      <c r="O46" s="3"/>
      <c r="P46" s="3"/>
      <c r="Q46" s="4"/>
      <c r="R46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47" spans="1:18">
      <c r="A47" t="s">
        <v>95</v>
      </c>
      <c r="B47" t="s">
        <v>96</v>
      </c>
      <c r="C47" t="s">
        <v>97</v>
      </c>
      <c r="D47" s="1">
        <v>45789</v>
      </c>
      <c r="E47" t="s">
        <v>98</v>
      </c>
      <c r="F47" t="s">
        <v>59</v>
      </c>
      <c r="G47" t="s">
        <v>23</v>
      </c>
      <c r="H47" s="1">
        <v>45806</v>
      </c>
      <c r="I47" s="1"/>
      <c r="J47" t="s">
        <v>31</v>
      </c>
      <c r="K47" t="s">
        <v>76</v>
      </c>
      <c r="L47" t="s">
        <v>28</v>
      </c>
      <c r="M47" t="s">
        <v>29</v>
      </c>
      <c r="N47" t="s">
        <v>99</v>
      </c>
      <c r="O47" s="3"/>
      <c r="P47" s="3"/>
      <c r="Q47" s="4"/>
      <c r="R47" s="2">
        <f ca="1">IF(HRTable[[#This Row],[DueDate]]="", "", MAX(0, IF(HRTable[[#This Row],[CompletedDate]]="", TODAY()-HRTable[[#This Row],[DueDate]], HRTable[[#This Row],[CompletedDate]]-HRTable[[#This Row],[DueDate]])))</f>
        <v>234</v>
      </c>
    </row>
    <row r="48" spans="1:18">
      <c r="A48" t="s">
        <v>95</v>
      </c>
      <c r="B48" t="s">
        <v>96</v>
      </c>
      <c r="C48" t="s">
        <v>97</v>
      </c>
      <c r="D48" s="1">
        <v>45789</v>
      </c>
      <c r="E48" t="s">
        <v>98</v>
      </c>
      <c r="F48" t="s">
        <v>59</v>
      </c>
      <c r="G48" t="s">
        <v>23</v>
      </c>
      <c r="H48" s="1">
        <v>45806</v>
      </c>
      <c r="I48" s="1">
        <v>45793</v>
      </c>
      <c r="J48" t="s">
        <v>42</v>
      </c>
      <c r="L48" t="s">
        <v>28</v>
      </c>
      <c r="M48" t="s">
        <v>29</v>
      </c>
      <c r="O48" s="3"/>
      <c r="P48" s="3"/>
      <c r="Q48" s="4"/>
      <c r="R48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49" spans="1:18">
      <c r="A49" t="s">
        <v>95</v>
      </c>
      <c r="B49" t="s">
        <v>96</v>
      </c>
      <c r="C49" t="s">
        <v>97</v>
      </c>
      <c r="D49" s="1">
        <v>45789</v>
      </c>
      <c r="E49" t="s">
        <v>98</v>
      </c>
      <c r="F49" t="s">
        <v>41</v>
      </c>
      <c r="G49" t="s">
        <v>35</v>
      </c>
      <c r="H49" s="1">
        <v>45792</v>
      </c>
      <c r="I49" s="1"/>
      <c r="J49" t="s">
        <v>42</v>
      </c>
      <c r="L49" t="s">
        <v>28</v>
      </c>
      <c r="M49" t="s">
        <v>29</v>
      </c>
      <c r="N49" t="s">
        <v>43</v>
      </c>
      <c r="O49" s="3"/>
      <c r="P49" s="3"/>
      <c r="Q49" s="4"/>
      <c r="R49" s="2">
        <f ca="1">IF(HRTable[[#This Row],[DueDate]]="", "", MAX(0, IF(HRTable[[#This Row],[CompletedDate]]="", TODAY()-HRTable[[#This Row],[DueDate]], HRTable[[#This Row],[CompletedDate]]-HRTable[[#This Row],[DueDate]])))</f>
        <v>248</v>
      </c>
    </row>
    <row r="50" spans="1:18">
      <c r="A50" t="s">
        <v>100</v>
      </c>
      <c r="B50" t="s">
        <v>101</v>
      </c>
      <c r="C50" t="s">
        <v>102</v>
      </c>
      <c r="D50" s="1">
        <v>45669</v>
      </c>
      <c r="E50" t="s">
        <v>103</v>
      </c>
      <c r="F50" t="s">
        <v>66</v>
      </c>
      <c r="G50" t="s">
        <v>20</v>
      </c>
      <c r="H50" s="1">
        <v>45683</v>
      </c>
      <c r="I50" s="1">
        <v>45679</v>
      </c>
      <c r="J50" t="s">
        <v>42</v>
      </c>
      <c r="L50" t="s">
        <v>28</v>
      </c>
      <c r="M50" t="s">
        <v>29</v>
      </c>
      <c r="O50" s="3"/>
      <c r="P50" s="3"/>
      <c r="Q50" s="4"/>
      <c r="R50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51" spans="1:18">
      <c r="A51" t="s">
        <v>100</v>
      </c>
      <c r="B51" t="s">
        <v>101</v>
      </c>
      <c r="C51" t="s">
        <v>102</v>
      </c>
      <c r="D51" s="1">
        <v>45669</v>
      </c>
      <c r="E51" t="s">
        <v>103</v>
      </c>
      <c r="F51" t="s">
        <v>38</v>
      </c>
      <c r="G51" t="s">
        <v>39</v>
      </c>
      <c r="H51" s="1">
        <v>45678</v>
      </c>
      <c r="I51" s="1">
        <v>45670</v>
      </c>
      <c r="J51" t="s">
        <v>42</v>
      </c>
      <c r="L51" t="s">
        <v>28</v>
      </c>
      <c r="M51" t="s">
        <v>29</v>
      </c>
      <c r="O51" s="3"/>
      <c r="P51" s="3"/>
      <c r="Q51" s="4"/>
      <c r="R51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52" spans="1:18">
      <c r="A52" t="s">
        <v>100</v>
      </c>
      <c r="B52" t="s">
        <v>101</v>
      </c>
      <c r="C52" t="s">
        <v>102</v>
      </c>
      <c r="D52" s="1">
        <v>45669</v>
      </c>
      <c r="E52" t="s">
        <v>103</v>
      </c>
      <c r="F52" t="s">
        <v>59</v>
      </c>
      <c r="G52" t="s">
        <v>23</v>
      </c>
      <c r="H52" s="1">
        <v>45686</v>
      </c>
      <c r="I52" s="1">
        <v>45671</v>
      </c>
      <c r="J52" t="s">
        <v>42</v>
      </c>
      <c r="L52" t="s">
        <v>28</v>
      </c>
      <c r="M52" t="s">
        <v>29</v>
      </c>
      <c r="O52" s="3"/>
      <c r="P52" s="3"/>
      <c r="Q52" s="4"/>
      <c r="R52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53" spans="1:18">
      <c r="A53" t="s">
        <v>100</v>
      </c>
      <c r="B53" t="s">
        <v>101</v>
      </c>
      <c r="C53" t="s">
        <v>102</v>
      </c>
      <c r="D53" s="1">
        <v>45669</v>
      </c>
      <c r="E53" t="s">
        <v>103</v>
      </c>
      <c r="F53" t="s">
        <v>27</v>
      </c>
      <c r="G53" t="s">
        <v>4</v>
      </c>
      <c r="H53" s="1">
        <v>45686</v>
      </c>
      <c r="I53" s="1">
        <v>45678</v>
      </c>
      <c r="J53" t="s">
        <v>42</v>
      </c>
      <c r="L53" t="s">
        <v>28</v>
      </c>
      <c r="M53" t="s">
        <v>29</v>
      </c>
      <c r="N53" t="s">
        <v>71</v>
      </c>
      <c r="O53" s="3"/>
      <c r="P53" s="3"/>
      <c r="Q53" s="4"/>
      <c r="R53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54" spans="1:18">
      <c r="A54" t="s">
        <v>104</v>
      </c>
      <c r="B54" t="s">
        <v>105</v>
      </c>
      <c r="C54" t="s">
        <v>97</v>
      </c>
      <c r="D54" s="1">
        <v>45675</v>
      </c>
      <c r="E54" t="s">
        <v>98</v>
      </c>
      <c r="F54" t="s">
        <v>70</v>
      </c>
      <c r="G54" t="s">
        <v>4</v>
      </c>
      <c r="H54" s="1">
        <v>45694</v>
      </c>
      <c r="I54" s="1"/>
      <c r="J54" t="s">
        <v>42</v>
      </c>
      <c r="L54" t="s">
        <v>28</v>
      </c>
      <c r="M54" t="s">
        <v>29</v>
      </c>
      <c r="N54" t="s">
        <v>43</v>
      </c>
      <c r="O54" s="3"/>
      <c r="P54" s="3"/>
      <c r="Q54" s="4"/>
      <c r="R54" s="2">
        <f ca="1">IF(HRTable[[#This Row],[DueDate]]="", "", MAX(0, IF(HRTable[[#This Row],[CompletedDate]]="", TODAY()-HRTable[[#This Row],[DueDate]], HRTable[[#This Row],[CompletedDate]]-HRTable[[#This Row],[DueDate]])))</f>
        <v>346</v>
      </c>
    </row>
    <row r="55" spans="1:18">
      <c r="A55" t="s">
        <v>104</v>
      </c>
      <c r="B55" t="s">
        <v>105</v>
      </c>
      <c r="C55" t="s">
        <v>97</v>
      </c>
      <c r="D55" s="1">
        <v>45675</v>
      </c>
      <c r="E55" t="s">
        <v>98</v>
      </c>
      <c r="F55" t="s">
        <v>38</v>
      </c>
      <c r="G55" t="s">
        <v>39</v>
      </c>
      <c r="H55" s="1">
        <v>45679</v>
      </c>
      <c r="I55" s="1"/>
      <c r="J55" t="s">
        <v>40</v>
      </c>
      <c r="L55" t="s">
        <v>28</v>
      </c>
      <c r="M55" t="s">
        <v>29</v>
      </c>
      <c r="N55" t="s">
        <v>40</v>
      </c>
      <c r="O55" s="3"/>
      <c r="P55" s="3"/>
      <c r="Q55" s="4"/>
      <c r="R55" s="2">
        <f ca="1">IF(HRTable[[#This Row],[DueDate]]="", "", MAX(0, IF(HRTable[[#This Row],[CompletedDate]]="", TODAY()-HRTable[[#This Row],[DueDate]], HRTable[[#This Row],[CompletedDate]]-HRTable[[#This Row],[DueDate]])))</f>
        <v>361</v>
      </c>
    </row>
    <row r="56" spans="1:18">
      <c r="A56" t="s">
        <v>104</v>
      </c>
      <c r="B56" t="s">
        <v>105</v>
      </c>
      <c r="C56" t="s">
        <v>97</v>
      </c>
      <c r="D56" s="1">
        <v>45675</v>
      </c>
      <c r="E56" t="s">
        <v>98</v>
      </c>
      <c r="F56" t="s">
        <v>49</v>
      </c>
      <c r="G56" t="s">
        <v>39</v>
      </c>
      <c r="H56" s="1">
        <v>45685</v>
      </c>
      <c r="I56" s="1">
        <v>45684</v>
      </c>
      <c r="J56" t="s">
        <v>42</v>
      </c>
      <c r="L56" t="s">
        <v>28</v>
      </c>
      <c r="M56" t="s">
        <v>29</v>
      </c>
      <c r="O56" s="3"/>
      <c r="P56" s="3"/>
      <c r="Q56" s="4"/>
      <c r="R56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57" spans="1:18">
      <c r="A57" t="s">
        <v>104</v>
      </c>
      <c r="B57" t="s">
        <v>105</v>
      </c>
      <c r="C57" t="s">
        <v>97</v>
      </c>
      <c r="D57" s="1">
        <v>45675</v>
      </c>
      <c r="E57" t="s">
        <v>98</v>
      </c>
      <c r="F57" t="s">
        <v>57</v>
      </c>
      <c r="G57" t="s">
        <v>35</v>
      </c>
      <c r="H57" s="1">
        <v>45679</v>
      </c>
      <c r="I57" s="1">
        <v>45676</v>
      </c>
      <c r="J57" t="s">
        <v>42</v>
      </c>
      <c r="L57" t="s">
        <v>28</v>
      </c>
      <c r="M57" t="s">
        <v>29</v>
      </c>
      <c r="N57" t="s">
        <v>58</v>
      </c>
      <c r="O57" s="3"/>
      <c r="P57" s="3"/>
      <c r="Q57" s="4"/>
      <c r="R57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58" spans="1:18">
      <c r="A58" t="s">
        <v>106</v>
      </c>
      <c r="B58" t="s">
        <v>105</v>
      </c>
      <c r="C58" t="s">
        <v>97</v>
      </c>
      <c r="D58" s="1">
        <v>45915</v>
      </c>
      <c r="E58" t="s">
        <v>107</v>
      </c>
      <c r="F58" t="s">
        <v>88</v>
      </c>
      <c r="G58" t="s">
        <v>108</v>
      </c>
      <c r="H58" s="1">
        <v>45929</v>
      </c>
      <c r="I58" s="1">
        <v>45930</v>
      </c>
      <c r="J58" t="s">
        <v>42</v>
      </c>
      <c r="L58" t="s">
        <v>91</v>
      </c>
      <c r="M58" t="s">
        <v>48</v>
      </c>
      <c r="O58" s="3"/>
      <c r="P58" s="3"/>
      <c r="Q58" s="4"/>
      <c r="R58" s="2">
        <f ca="1">IF(HRTable[[#This Row],[DueDate]]="", "", MAX(0, IF(HRTable[[#This Row],[CompletedDate]]="", TODAY()-HRTable[[#This Row],[DueDate]], HRTable[[#This Row],[CompletedDate]]-HRTable[[#This Row],[DueDate]])))</f>
        <v>1</v>
      </c>
    </row>
    <row r="59" spans="1:18">
      <c r="A59" t="s">
        <v>106</v>
      </c>
      <c r="B59" t="s">
        <v>105</v>
      </c>
      <c r="C59" t="s">
        <v>97</v>
      </c>
      <c r="D59" s="1">
        <v>45915</v>
      </c>
      <c r="E59" t="s">
        <v>107</v>
      </c>
      <c r="F59" t="s">
        <v>85</v>
      </c>
      <c r="G59" t="s">
        <v>64</v>
      </c>
      <c r="H59" s="1">
        <v>45921</v>
      </c>
      <c r="I59" s="1">
        <v>45920</v>
      </c>
      <c r="J59" t="s">
        <v>42</v>
      </c>
      <c r="L59" t="s">
        <v>28</v>
      </c>
      <c r="M59" t="s">
        <v>29</v>
      </c>
      <c r="O59" s="3"/>
      <c r="P59" s="3"/>
      <c r="Q59" s="4"/>
      <c r="R59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60" spans="1:18">
      <c r="A60" t="s">
        <v>106</v>
      </c>
      <c r="B60" t="s">
        <v>105</v>
      </c>
      <c r="C60" t="s">
        <v>97</v>
      </c>
      <c r="D60" s="1">
        <v>45915</v>
      </c>
      <c r="E60" t="s">
        <v>107</v>
      </c>
      <c r="F60" t="s">
        <v>60</v>
      </c>
      <c r="G60" t="s">
        <v>23</v>
      </c>
      <c r="H60" s="1">
        <v>45923</v>
      </c>
      <c r="I60" s="1">
        <v>45920</v>
      </c>
      <c r="J60" t="s">
        <v>42</v>
      </c>
      <c r="L60" t="s">
        <v>61</v>
      </c>
      <c r="M60" t="s">
        <v>48</v>
      </c>
      <c r="O60" s="3"/>
      <c r="P60" s="3"/>
      <c r="Q60" s="4"/>
      <c r="R60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61" spans="1:18">
      <c r="A61" t="s">
        <v>106</v>
      </c>
      <c r="B61" t="s">
        <v>105</v>
      </c>
      <c r="C61" t="s">
        <v>97</v>
      </c>
      <c r="D61" s="1">
        <v>45915</v>
      </c>
      <c r="E61" t="s">
        <v>107</v>
      </c>
      <c r="F61" t="s">
        <v>41</v>
      </c>
      <c r="G61" t="s">
        <v>35</v>
      </c>
      <c r="H61" s="1">
        <v>45922</v>
      </c>
      <c r="I61" s="1">
        <v>45922</v>
      </c>
      <c r="J61" t="s">
        <v>42</v>
      </c>
      <c r="L61" t="s">
        <v>28</v>
      </c>
      <c r="M61" t="s">
        <v>29</v>
      </c>
      <c r="O61" s="3"/>
      <c r="P61" s="3"/>
      <c r="Q61" s="4"/>
      <c r="R61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62" spans="1:18">
      <c r="A62" t="s">
        <v>109</v>
      </c>
      <c r="B62" t="s">
        <v>110</v>
      </c>
      <c r="C62" t="s">
        <v>20</v>
      </c>
      <c r="D62" s="1">
        <v>45875</v>
      </c>
      <c r="E62" t="s">
        <v>21</v>
      </c>
      <c r="F62" t="s">
        <v>60</v>
      </c>
      <c r="G62" t="s">
        <v>23</v>
      </c>
      <c r="H62" s="1">
        <v>45894</v>
      </c>
      <c r="I62" s="1">
        <v>45879</v>
      </c>
      <c r="J62" t="s">
        <v>42</v>
      </c>
      <c r="L62" t="s">
        <v>61</v>
      </c>
      <c r="M62" t="s">
        <v>48</v>
      </c>
      <c r="O62" s="3"/>
      <c r="P62" s="3"/>
      <c r="Q62" s="4"/>
      <c r="R62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63" spans="1:18">
      <c r="A63" t="s">
        <v>109</v>
      </c>
      <c r="B63" t="s">
        <v>110</v>
      </c>
      <c r="C63" t="s">
        <v>20</v>
      </c>
      <c r="D63" s="1">
        <v>45875</v>
      </c>
      <c r="E63" t="s">
        <v>21</v>
      </c>
      <c r="F63" t="s">
        <v>52</v>
      </c>
      <c r="G63" t="s">
        <v>20</v>
      </c>
      <c r="H63" s="1">
        <v>45879</v>
      </c>
      <c r="I63" s="1"/>
      <c r="J63" t="s">
        <v>42</v>
      </c>
      <c r="L63" t="s">
        <v>28</v>
      </c>
      <c r="M63" t="s">
        <v>29</v>
      </c>
      <c r="N63" t="s">
        <v>43</v>
      </c>
      <c r="O63" s="3"/>
      <c r="P63" s="3"/>
      <c r="Q63" s="4"/>
      <c r="R63" s="2">
        <f ca="1">IF(HRTable[[#This Row],[DueDate]]="", "", MAX(0, IF(HRTable[[#This Row],[CompletedDate]]="", TODAY()-HRTable[[#This Row],[DueDate]], HRTable[[#This Row],[CompletedDate]]-HRTable[[#This Row],[DueDate]])))</f>
        <v>161</v>
      </c>
    </row>
    <row r="64" spans="1:18">
      <c r="A64" t="s">
        <v>109</v>
      </c>
      <c r="B64" t="s">
        <v>110</v>
      </c>
      <c r="C64" t="s">
        <v>20</v>
      </c>
      <c r="D64" s="1">
        <v>45875</v>
      </c>
      <c r="E64" t="s">
        <v>21</v>
      </c>
      <c r="F64" t="s">
        <v>38</v>
      </c>
      <c r="G64" t="s">
        <v>39</v>
      </c>
      <c r="H64" s="1">
        <v>45881</v>
      </c>
      <c r="I64" s="1"/>
      <c r="J64" t="s">
        <v>40</v>
      </c>
      <c r="L64" t="s">
        <v>28</v>
      </c>
      <c r="M64" t="s">
        <v>29</v>
      </c>
      <c r="N64" t="s">
        <v>40</v>
      </c>
      <c r="O64" s="3"/>
      <c r="P64" s="3"/>
      <c r="Q64" s="4"/>
      <c r="R64" s="2">
        <f ca="1">IF(HRTable[[#This Row],[DueDate]]="", "", MAX(0, IF(HRTable[[#This Row],[CompletedDate]]="", TODAY()-HRTable[[#This Row],[DueDate]], HRTable[[#This Row],[CompletedDate]]-HRTable[[#This Row],[DueDate]])))</f>
        <v>159</v>
      </c>
    </row>
    <row r="65" spans="1:18">
      <c r="A65" t="s">
        <v>109</v>
      </c>
      <c r="B65" t="s">
        <v>110</v>
      </c>
      <c r="C65" t="s">
        <v>20</v>
      </c>
      <c r="D65" s="1">
        <v>45875</v>
      </c>
      <c r="E65" t="s">
        <v>21</v>
      </c>
      <c r="F65" t="s">
        <v>30</v>
      </c>
      <c r="G65" t="s">
        <v>4</v>
      </c>
      <c r="H65" s="1">
        <v>45894</v>
      </c>
      <c r="I65" s="1">
        <v>45877</v>
      </c>
      <c r="J65" t="s">
        <v>42</v>
      </c>
      <c r="L65" t="s">
        <v>28</v>
      </c>
      <c r="M65" t="s">
        <v>29</v>
      </c>
      <c r="N65" t="s">
        <v>111</v>
      </c>
      <c r="O65" s="3"/>
      <c r="P65" s="3"/>
      <c r="Q65" s="4"/>
      <c r="R65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66" spans="1:18">
      <c r="A66" t="s">
        <v>112</v>
      </c>
      <c r="B66" t="s">
        <v>113</v>
      </c>
      <c r="C66" t="s">
        <v>35</v>
      </c>
      <c r="D66" s="1">
        <v>45921</v>
      </c>
      <c r="E66" t="s">
        <v>80</v>
      </c>
      <c r="F66" t="s">
        <v>72</v>
      </c>
      <c r="G66" t="s">
        <v>23</v>
      </c>
      <c r="H66" s="1">
        <v>45931</v>
      </c>
      <c r="I66" s="1"/>
      <c r="J66" t="s">
        <v>40</v>
      </c>
      <c r="L66" t="s">
        <v>73</v>
      </c>
      <c r="M66" t="s">
        <v>26</v>
      </c>
      <c r="N66" t="s">
        <v>40</v>
      </c>
      <c r="O66" s="3"/>
      <c r="P66" s="3"/>
      <c r="Q66" s="4"/>
      <c r="R66" s="2">
        <f ca="1">IF(HRTable[[#This Row],[DueDate]]="", "", MAX(0, IF(HRTable[[#This Row],[CompletedDate]]="", TODAY()-HRTable[[#This Row],[DueDate]], HRTable[[#This Row],[CompletedDate]]-HRTable[[#This Row],[DueDate]])))</f>
        <v>109</v>
      </c>
    </row>
    <row r="67" spans="1:18">
      <c r="A67" t="s">
        <v>112</v>
      </c>
      <c r="B67" t="s">
        <v>113</v>
      </c>
      <c r="C67" t="s">
        <v>35</v>
      </c>
      <c r="D67" s="1">
        <v>45921</v>
      </c>
      <c r="E67" t="s">
        <v>80</v>
      </c>
      <c r="F67" t="s">
        <v>88</v>
      </c>
      <c r="G67" t="s">
        <v>89</v>
      </c>
      <c r="H67" s="1">
        <v>45942</v>
      </c>
      <c r="I67" s="1">
        <v>45940</v>
      </c>
      <c r="J67" t="s">
        <v>42</v>
      </c>
      <c r="L67" t="s">
        <v>91</v>
      </c>
      <c r="M67" t="s">
        <v>48</v>
      </c>
      <c r="O67" s="3"/>
      <c r="P67" s="3"/>
      <c r="Q67" s="4"/>
      <c r="R67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68" spans="1:18">
      <c r="A68" t="s">
        <v>112</v>
      </c>
      <c r="B68" t="s">
        <v>113</v>
      </c>
      <c r="C68" t="s">
        <v>35</v>
      </c>
      <c r="D68" s="1">
        <v>45921</v>
      </c>
      <c r="E68" t="s">
        <v>80</v>
      </c>
      <c r="F68" t="s">
        <v>38</v>
      </c>
      <c r="G68" t="s">
        <v>39</v>
      </c>
      <c r="H68" s="1">
        <v>45928</v>
      </c>
      <c r="I68" s="1"/>
      <c r="J68" t="s">
        <v>40</v>
      </c>
      <c r="L68" t="s">
        <v>28</v>
      </c>
      <c r="M68" t="s">
        <v>29</v>
      </c>
      <c r="N68" t="s">
        <v>40</v>
      </c>
      <c r="O68" s="3"/>
      <c r="P68" s="3"/>
      <c r="Q68" s="4"/>
      <c r="R68" s="2">
        <f ca="1">IF(HRTable[[#This Row],[DueDate]]="", "", MAX(0, IF(HRTable[[#This Row],[CompletedDate]]="", TODAY()-HRTable[[#This Row],[DueDate]], HRTable[[#This Row],[CompletedDate]]-HRTable[[#This Row],[DueDate]])))</f>
        <v>112</v>
      </c>
    </row>
    <row r="69" spans="1:18">
      <c r="A69" t="s">
        <v>112</v>
      </c>
      <c r="B69" t="s">
        <v>113</v>
      </c>
      <c r="C69" t="s">
        <v>35</v>
      </c>
      <c r="D69" s="1">
        <v>45921</v>
      </c>
      <c r="E69" t="s">
        <v>80</v>
      </c>
      <c r="F69" t="s">
        <v>27</v>
      </c>
      <c r="G69" t="s">
        <v>4</v>
      </c>
      <c r="H69" s="1">
        <v>45926</v>
      </c>
      <c r="I69" s="1">
        <v>45928</v>
      </c>
      <c r="J69" t="s">
        <v>42</v>
      </c>
      <c r="L69" t="s">
        <v>28</v>
      </c>
      <c r="M69" t="s">
        <v>29</v>
      </c>
      <c r="N69" t="s">
        <v>71</v>
      </c>
      <c r="O69" s="3"/>
      <c r="P69" s="3"/>
      <c r="Q69" s="4"/>
      <c r="R69" s="2">
        <f ca="1">IF(HRTable[[#This Row],[DueDate]]="", "", MAX(0, IF(HRTable[[#This Row],[CompletedDate]]="", TODAY()-HRTable[[#This Row],[DueDate]], HRTable[[#This Row],[CompletedDate]]-HRTable[[#This Row],[DueDate]])))</f>
        <v>2</v>
      </c>
    </row>
    <row r="70" spans="1:18">
      <c r="A70" t="s">
        <v>114</v>
      </c>
      <c r="B70" t="s">
        <v>115</v>
      </c>
      <c r="C70" t="s">
        <v>116</v>
      </c>
      <c r="D70" s="1">
        <v>45735</v>
      </c>
      <c r="E70" t="s">
        <v>117</v>
      </c>
      <c r="F70" t="s">
        <v>52</v>
      </c>
      <c r="G70" t="s">
        <v>20</v>
      </c>
      <c r="H70" s="1">
        <v>45747</v>
      </c>
      <c r="I70" s="1"/>
      <c r="J70" t="s">
        <v>24</v>
      </c>
      <c r="L70" t="s">
        <v>28</v>
      </c>
      <c r="M70" t="s">
        <v>29</v>
      </c>
      <c r="N70" t="s">
        <v>24</v>
      </c>
      <c r="O70" s="3"/>
      <c r="P70" s="3"/>
      <c r="Q70" s="4"/>
      <c r="R70" s="2">
        <f ca="1">IF(HRTable[[#This Row],[DueDate]]="", "", MAX(0, IF(HRTable[[#This Row],[CompletedDate]]="", TODAY()-HRTable[[#This Row],[DueDate]], HRTable[[#This Row],[CompletedDate]]-HRTable[[#This Row],[DueDate]])))</f>
        <v>293</v>
      </c>
    </row>
    <row r="71" spans="1:18">
      <c r="A71" t="s">
        <v>114</v>
      </c>
      <c r="B71" t="s">
        <v>115</v>
      </c>
      <c r="C71" t="s">
        <v>116</v>
      </c>
      <c r="D71" s="1">
        <v>45735</v>
      </c>
      <c r="E71" t="s">
        <v>117</v>
      </c>
      <c r="F71" t="s">
        <v>66</v>
      </c>
      <c r="G71" t="s">
        <v>20</v>
      </c>
      <c r="H71" s="1">
        <v>45749</v>
      </c>
      <c r="I71" s="1">
        <v>45741</v>
      </c>
      <c r="J71" t="s">
        <v>42</v>
      </c>
      <c r="L71" t="s">
        <v>28</v>
      </c>
      <c r="M71" t="s">
        <v>29</v>
      </c>
      <c r="O71" s="3"/>
      <c r="P71" s="3"/>
      <c r="Q71" s="4"/>
      <c r="R71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72" spans="1:18">
      <c r="A72" t="s">
        <v>114</v>
      </c>
      <c r="B72" t="s">
        <v>115</v>
      </c>
      <c r="C72" t="s">
        <v>116</v>
      </c>
      <c r="D72" s="1">
        <v>45735</v>
      </c>
      <c r="E72" t="s">
        <v>117</v>
      </c>
      <c r="F72" t="s">
        <v>27</v>
      </c>
      <c r="G72" t="s">
        <v>4</v>
      </c>
      <c r="H72" s="1">
        <v>45748</v>
      </c>
      <c r="I72" s="1"/>
      <c r="J72" t="s">
        <v>40</v>
      </c>
      <c r="L72" t="s">
        <v>28</v>
      </c>
      <c r="M72" t="s">
        <v>29</v>
      </c>
      <c r="N72" t="s">
        <v>40</v>
      </c>
      <c r="O72" s="3"/>
      <c r="P72" s="3"/>
      <c r="Q72" s="4"/>
      <c r="R72" s="2">
        <f ca="1">IF(HRTable[[#This Row],[DueDate]]="", "", MAX(0, IF(HRTable[[#This Row],[CompletedDate]]="", TODAY()-HRTable[[#This Row],[DueDate]], HRTable[[#This Row],[CompletedDate]]-HRTable[[#This Row],[DueDate]])))</f>
        <v>292</v>
      </c>
    </row>
    <row r="73" spans="1:18">
      <c r="A73" t="s">
        <v>114</v>
      </c>
      <c r="B73" t="s">
        <v>115</v>
      </c>
      <c r="C73" t="s">
        <v>116</v>
      </c>
      <c r="D73" s="1">
        <v>45735</v>
      </c>
      <c r="E73" t="s">
        <v>117</v>
      </c>
      <c r="F73" t="s">
        <v>81</v>
      </c>
      <c r="G73" t="s">
        <v>23</v>
      </c>
      <c r="H73" s="1">
        <v>45743</v>
      </c>
      <c r="I73" s="1"/>
      <c r="J73" t="s">
        <v>31</v>
      </c>
      <c r="K73" t="s">
        <v>32</v>
      </c>
      <c r="L73" t="s">
        <v>82</v>
      </c>
      <c r="M73" t="s">
        <v>26</v>
      </c>
      <c r="N73" t="s">
        <v>33</v>
      </c>
      <c r="O73" s="3"/>
      <c r="P73" s="3"/>
      <c r="Q73" s="4"/>
      <c r="R73" s="2">
        <f ca="1">IF(HRTable[[#This Row],[DueDate]]="", "", MAX(0, IF(HRTable[[#This Row],[CompletedDate]]="", TODAY()-HRTable[[#This Row],[DueDate]], HRTable[[#This Row],[CompletedDate]]-HRTable[[#This Row],[DueDate]])))</f>
        <v>297</v>
      </c>
    </row>
    <row r="74" spans="1:18">
      <c r="A74" t="s">
        <v>118</v>
      </c>
      <c r="B74" t="s">
        <v>113</v>
      </c>
      <c r="C74" t="s">
        <v>35</v>
      </c>
      <c r="D74" s="1">
        <v>45722</v>
      </c>
      <c r="E74" t="s">
        <v>80</v>
      </c>
      <c r="F74" t="s">
        <v>66</v>
      </c>
      <c r="G74" t="s">
        <v>20</v>
      </c>
      <c r="H74" s="1">
        <v>45727</v>
      </c>
      <c r="I74" s="1"/>
      <c r="J74" t="s">
        <v>40</v>
      </c>
      <c r="L74" t="s">
        <v>28</v>
      </c>
      <c r="M74" t="s">
        <v>29</v>
      </c>
      <c r="N74" t="s">
        <v>40</v>
      </c>
      <c r="O74" s="3"/>
      <c r="P74" s="3"/>
      <c r="Q74" s="4"/>
      <c r="R74" s="2">
        <f ca="1">IF(HRTable[[#This Row],[DueDate]]="", "", MAX(0, IF(HRTable[[#This Row],[CompletedDate]]="", TODAY()-HRTable[[#This Row],[DueDate]], HRTable[[#This Row],[CompletedDate]]-HRTable[[#This Row],[DueDate]])))</f>
        <v>313</v>
      </c>
    </row>
    <row r="75" spans="1:18">
      <c r="A75" t="s">
        <v>118</v>
      </c>
      <c r="B75" t="s">
        <v>113</v>
      </c>
      <c r="C75" t="s">
        <v>35</v>
      </c>
      <c r="D75" s="1">
        <v>45722</v>
      </c>
      <c r="E75" t="s">
        <v>80</v>
      </c>
      <c r="F75" t="s">
        <v>49</v>
      </c>
      <c r="G75" t="s">
        <v>39</v>
      </c>
      <c r="H75" s="1">
        <v>45734</v>
      </c>
      <c r="I75" s="1">
        <v>45728</v>
      </c>
      <c r="J75" t="s">
        <v>42</v>
      </c>
      <c r="L75" t="s">
        <v>28</v>
      </c>
      <c r="M75" t="s">
        <v>29</v>
      </c>
      <c r="O75" s="3"/>
      <c r="P75" s="3"/>
      <c r="Q75" s="4"/>
      <c r="R75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76" spans="1:18">
      <c r="A76" t="s">
        <v>118</v>
      </c>
      <c r="B76" t="s">
        <v>113</v>
      </c>
      <c r="C76" t="s">
        <v>35</v>
      </c>
      <c r="D76" s="1">
        <v>45722</v>
      </c>
      <c r="E76" t="s">
        <v>80</v>
      </c>
      <c r="F76" t="s">
        <v>59</v>
      </c>
      <c r="G76" t="s">
        <v>23</v>
      </c>
      <c r="H76" s="1">
        <v>45728</v>
      </c>
      <c r="I76" s="1"/>
      <c r="J76" t="s">
        <v>24</v>
      </c>
      <c r="L76" t="s">
        <v>28</v>
      </c>
      <c r="M76" t="s">
        <v>29</v>
      </c>
      <c r="N76" t="s">
        <v>24</v>
      </c>
      <c r="O76" s="3"/>
      <c r="P76" s="3"/>
      <c r="Q76" s="4"/>
      <c r="R76" s="2">
        <f ca="1">IF(HRTable[[#This Row],[DueDate]]="", "", MAX(0, IF(HRTable[[#This Row],[CompletedDate]]="", TODAY()-HRTable[[#This Row],[DueDate]], HRTable[[#This Row],[CompletedDate]]-HRTable[[#This Row],[DueDate]])))</f>
        <v>312</v>
      </c>
    </row>
    <row r="77" spans="1:18">
      <c r="A77" t="s">
        <v>118</v>
      </c>
      <c r="B77" t="s">
        <v>113</v>
      </c>
      <c r="C77" t="s">
        <v>35</v>
      </c>
      <c r="D77" s="1">
        <v>45722</v>
      </c>
      <c r="E77" t="s">
        <v>80</v>
      </c>
      <c r="F77" t="s">
        <v>38</v>
      </c>
      <c r="G77" t="s">
        <v>39</v>
      </c>
      <c r="H77" s="1">
        <v>45729</v>
      </c>
      <c r="I77" s="1">
        <v>45724</v>
      </c>
      <c r="J77" t="s">
        <v>42</v>
      </c>
      <c r="L77" t="s">
        <v>28</v>
      </c>
      <c r="M77" t="s">
        <v>29</v>
      </c>
      <c r="O77" s="3"/>
      <c r="P77" s="3"/>
      <c r="Q77" s="4"/>
      <c r="R77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78" spans="1:18">
      <c r="A78" t="s">
        <v>119</v>
      </c>
      <c r="B78" t="s">
        <v>54</v>
      </c>
      <c r="C78" t="s">
        <v>55</v>
      </c>
      <c r="D78" s="1">
        <v>45888</v>
      </c>
      <c r="E78" t="s">
        <v>56</v>
      </c>
      <c r="F78" t="s">
        <v>27</v>
      </c>
      <c r="G78" t="s">
        <v>4</v>
      </c>
      <c r="H78" s="1">
        <v>45896</v>
      </c>
      <c r="I78" s="1"/>
      <c r="J78" t="s">
        <v>40</v>
      </c>
      <c r="L78" t="s">
        <v>28</v>
      </c>
      <c r="M78" t="s">
        <v>29</v>
      </c>
      <c r="N78" t="s">
        <v>40</v>
      </c>
      <c r="O78" s="3"/>
      <c r="P78" s="3"/>
      <c r="Q78" s="4"/>
      <c r="R78" s="2">
        <f ca="1">IF(HRTable[[#This Row],[DueDate]]="", "", MAX(0, IF(HRTable[[#This Row],[CompletedDate]]="", TODAY()-HRTable[[#This Row],[DueDate]], HRTable[[#This Row],[CompletedDate]]-HRTable[[#This Row],[DueDate]])))</f>
        <v>144</v>
      </c>
    </row>
    <row r="79" spans="1:18">
      <c r="A79" t="s">
        <v>119</v>
      </c>
      <c r="B79" t="s">
        <v>54</v>
      </c>
      <c r="C79" t="s">
        <v>55</v>
      </c>
      <c r="D79" s="1">
        <v>45888</v>
      </c>
      <c r="E79" t="s">
        <v>56</v>
      </c>
      <c r="F79" t="s">
        <v>34</v>
      </c>
      <c r="G79" t="s">
        <v>35</v>
      </c>
      <c r="H79" s="1">
        <v>45894</v>
      </c>
      <c r="I79" s="1"/>
      <c r="J79" t="s">
        <v>40</v>
      </c>
      <c r="L79" t="s">
        <v>28</v>
      </c>
      <c r="M79" t="s">
        <v>29</v>
      </c>
      <c r="N79" t="s">
        <v>120</v>
      </c>
      <c r="O79" s="3"/>
      <c r="P79" s="3"/>
      <c r="Q79" s="4"/>
      <c r="R79" s="2">
        <f ca="1">IF(HRTable[[#This Row],[DueDate]]="", "", MAX(0, IF(HRTable[[#This Row],[CompletedDate]]="", TODAY()-HRTable[[#This Row],[DueDate]], HRTable[[#This Row],[CompletedDate]]-HRTable[[#This Row],[DueDate]])))</f>
        <v>146</v>
      </c>
    </row>
    <row r="80" spans="1:18">
      <c r="A80" t="s">
        <v>119</v>
      </c>
      <c r="B80" t="s">
        <v>54</v>
      </c>
      <c r="C80" t="s">
        <v>55</v>
      </c>
      <c r="D80" s="1">
        <v>45888</v>
      </c>
      <c r="E80" t="s">
        <v>56</v>
      </c>
      <c r="F80" t="s">
        <v>34</v>
      </c>
      <c r="G80" t="s">
        <v>35</v>
      </c>
      <c r="H80" s="1">
        <v>45894</v>
      </c>
      <c r="I80" s="1"/>
      <c r="J80" t="s">
        <v>24</v>
      </c>
      <c r="L80" t="s">
        <v>28</v>
      </c>
      <c r="M80" t="s">
        <v>29</v>
      </c>
      <c r="N80" t="s">
        <v>24</v>
      </c>
      <c r="O80" s="3"/>
      <c r="P80" s="3"/>
      <c r="Q80" s="4"/>
      <c r="R80" s="2">
        <f ca="1">IF(HRTable[[#This Row],[DueDate]]="", "", MAX(0, IF(HRTable[[#This Row],[CompletedDate]]="", TODAY()-HRTable[[#This Row],[DueDate]], HRTable[[#This Row],[CompletedDate]]-HRTable[[#This Row],[DueDate]])))</f>
        <v>146</v>
      </c>
    </row>
    <row r="81" spans="1:18">
      <c r="A81" t="s">
        <v>119</v>
      </c>
      <c r="B81" t="s">
        <v>54</v>
      </c>
      <c r="C81" t="s">
        <v>55</v>
      </c>
      <c r="D81" s="1">
        <v>45888</v>
      </c>
      <c r="E81" t="s">
        <v>56</v>
      </c>
      <c r="F81" t="s">
        <v>72</v>
      </c>
      <c r="G81" t="s">
        <v>23</v>
      </c>
      <c r="H81" s="1">
        <v>45898</v>
      </c>
      <c r="I81" s="1">
        <v>45891</v>
      </c>
      <c r="J81" t="s">
        <v>42</v>
      </c>
      <c r="L81" t="s">
        <v>73</v>
      </c>
      <c r="M81" t="s">
        <v>48</v>
      </c>
      <c r="O81" s="3"/>
      <c r="P81" s="3"/>
      <c r="Q81" s="4"/>
      <c r="R81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82" spans="1:18">
      <c r="A82" t="s">
        <v>121</v>
      </c>
      <c r="B82" t="s">
        <v>110</v>
      </c>
      <c r="C82" t="s">
        <v>20</v>
      </c>
      <c r="D82" s="1">
        <v>45827</v>
      </c>
      <c r="E82" t="s">
        <v>21</v>
      </c>
      <c r="F82" t="s">
        <v>38</v>
      </c>
      <c r="G82" t="s">
        <v>39</v>
      </c>
      <c r="H82" s="1">
        <v>45837</v>
      </c>
      <c r="I82" s="1">
        <v>45831</v>
      </c>
      <c r="J82" t="s">
        <v>42</v>
      </c>
      <c r="L82" t="s">
        <v>28</v>
      </c>
      <c r="M82" t="s">
        <v>29</v>
      </c>
      <c r="O82" s="3"/>
      <c r="P82" s="3"/>
      <c r="Q82" s="4"/>
      <c r="R82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83" spans="1:18">
      <c r="A83" t="s">
        <v>121</v>
      </c>
      <c r="B83" t="s">
        <v>110</v>
      </c>
      <c r="C83" t="s">
        <v>20</v>
      </c>
      <c r="D83" s="1">
        <v>45827</v>
      </c>
      <c r="E83" t="s">
        <v>21</v>
      </c>
      <c r="F83" t="s">
        <v>22</v>
      </c>
      <c r="G83" t="s">
        <v>23</v>
      </c>
      <c r="H83" s="1">
        <v>45834</v>
      </c>
      <c r="I83" s="1">
        <v>45834</v>
      </c>
      <c r="J83" t="s">
        <v>42</v>
      </c>
      <c r="L83" t="s">
        <v>25</v>
      </c>
      <c r="M83" t="s">
        <v>48</v>
      </c>
      <c r="O83" s="3"/>
      <c r="P83" s="3"/>
      <c r="Q83" s="4"/>
      <c r="R83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84" spans="1:18">
      <c r="A84" t="s">
        <v>121</v>
      </c>
      <c r="B84" t="s">
        <v>110</v>
      </c>
      <c r="C84" t="s">
        <v>20</v>
      </c>
      <c r="D84" s="1">
        <v>45827</v>
      </c>
      <c r="E84" t="s">
        <v>21</v>
      </c>
      <c r="F84" t="s">
        <v>72</v>
      </c>
      <c r="G84" t="s">
        <v>23</v>
      </c>
      <c r="H84" s="1">
        <v>45842</v>
      </c>
      <c r="I84" s="1">
        <v>45836</v>
      </c>
      <c r="J84" t="s">
        <v>42</v>
      </c>
      <c r="L84" t="s">
        <v>73</v>
      </c>
      <c r="M84" t="s">
        <v>48</v>
      </c>
      <c r="O84" s="3"/>
      <c r="P84" s="3"/>
      <c r="Q84" s="4"/>
      <c r="R84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85" spans="1:18">
      <c r="A85" t="s">
        <v>121</v>
      </c>
      <c r="B85" t="s">
        <v>110</v>
      </c>
      <c r="C85" t="s">
        <v>20</v>
      </c>
      <c r="D85" s="1">
        <v>45827</v>
      </c>
      <c r="E85" t="s">
        <v>21</v>
      </c>
      <c r="F85" t="s">
        <v>88</v>
      </c>
      <c r="G85" t="s">
        <v>89</v>
      </c>
      <c r="H85" s="1">
        <v>45847</v>
      </c>
      <c r="I85" s="1"/>
      <c r="J85" t="s">
        <v>40</v>
      </c>
      <c r="L85" t="s">
        <v>91</v>
      </c>
      <c r="M85" t="s">
        <v>26</v>
      </c>
      <c r="N85" t="s">
        <v>40</v>
      </c>
      <c r="O85" s="3"/>
      <c r="P85" s="3"/>
      <c r="Q85" s="4"/>
      <c r="R85" s="2">
        <f ca="1">IF(HRTable[[#This Row],[DueDate]]="", "", MAX(0, IF(HRTable[[#This Row],[CompletedDate]]="", TODAY()-HRTable[[#This Row],[DueDate]], HRTable[[#This Row],[CompletedDate]]-HRTable[[#This Row],[DueDate]])))</f>
        <v>193</v>
      </c>
    </row>
    <row r="86" spans="1:18">
      <c r="A86" t="s">
        <v>122</v>
      </c>
      <c r="B86" t="s">
        <v>123</v>
      </c>
      <c r="C86" t="s">
        <v>116</v>
      </c>
      <c r="D86" s="1">
        <v>45972</v>
      </c>
      <c r="E86" t="s">
        <v>124</v>
      </c>
      <c r="F86" t="s">
        <v>70</v>
      </c>
      <c r="G86" t="s">
        <v>4</v>
      </c>
      <c r="H86" s="1">
        <v>45986</v>
      </c>
      <c r="I86" s="1">
        <v>45981</v>
      </c>
      <c r="J86" t="s">
        <v>42</v>
      </c>
      <c r="L86" t="s">
        <v>28</v>
      </c>
      <c r="M86" t="s">
        <v>29</v>
      </c>
      <c r="O86" s="3"/>
      <c r="P86" s="3"/>
      <c r="Q86" s="4"/>
      <c r="R86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87" spans="1:18">
      <c r="A87" t="s">
        <v>122</v>
      </c>
      <c r="B87" t="s">
        <v>123</v>
      </c>
      <c r="C87" t="s">
        <v>116</v>
      </c>
      <c r="D87" s="1">
        <v>45972</v>
      </c>
      <c r="E87" t="s">
        <v>124</v>
      </c>
      <c r="F87" t="s">
        <v>38</v>
      </c>
      <c r="G87" t="s">
        <v>39</v>
      </c>
      <c r="H87" s="1">
        <v>45974</v>
      </c>
      <c r="I87" s="1">
        <v>45973</v>
      </c>
      <c r="J87" t="s">
        <v>42</v>
      </c>
      <c r="L87" t="s">
        <v>28</v>
      </c>
      <c r="M87" t="s">
        <v>29</v>
      </c>
      <c r="N87" t="s">
        <v>75</v>
      </c>
      <c r="O87" s="3"/>
      <c r="P87" s="3"/>
      <c r="Q87" s="4"/>
      <c r="R87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88" spans="1:18">
      <c r="A88" t="s">
        <v>122</v>
      </c>
      <c r="B88" t="s">
        <v>123</v>
      </c>
      <c r="C88" t="s">
        <v>116</v>
      </c>
      <c r="D88" s="1">
        <v>45972</v>
      </c>
      <c r="E88" t="s">
        <v>124</v>
      </c>
      <c r="F88" t="s">
        <v>85</v>
      </c>
      <c r="G88" t="s">
        <v>64</v>
      </c>
      <c r="H88" s="1">
        <v>45990</v>
      </c>
      <c r="I88" s="1"/>
      <c r="J88" t="s">
        <v>24</v>
      </c>
      <c r="L88" t="s">
        <v>28</v>
      </c>
      <c r="M88" t="s">
        <v>29</v>
      </c>
      <c r="N88" t="s">
        <v>24</v>
      </c>
      <c r="O88" s="3"/>
      <c r="P88" s="3"/>
      <c r="Q88" s="4"/>
      <c r="R88" s="2">
        <f ca="1">IF(HRTable[[#This Row],[DueDate]]="", "", MAX(0, IF(HRTable[[#This Row],[CompletedDate]]="", TODAY()-HRTable[[#This Row],[DueDate]], HRTable[[#This Row],[CompletedDate]]-HRTable[[#This Row],[DueDate]])))</f>
        <v>50</v>
      </c>
    </row>
    <row r="89" spans="1:18">
      <c r="A89" t="s">
        <v>122</v>
      </c>
      <c r="B89" t="s">
        <v>123</v>
      </c>
      <c r="C89" t="s">
        <v>116</v>
      </c>
      <c r="D89" s="1">
        <v>45972</v>
      </c>
      <c r="E89" t="s">
        <v>124</v>
      </c>
      <c r="F89" t="s">
        <v>38</v>
      </c>
      <c r="G89" t="s">
        <v>39</v>
      </c>
      <c r="H89" s="1">
        <v>45974</v>
      </c>
      <c r="I89" s="1">
        <v>45975</v>
      </c>
      <c r="J89" t="s">
        <v>42</v>
      </c>
      <c r="L89" t="s">
        <v>28</v>
      </c>
      <c r="M89" t="s">
        <v>29</v>
      </c>
      <c r="O89" s="3"/>
      <c r="P89" s="3"/>
      <c r="Q89" s="4"/>
      <c r="R89" s="2">
        <f ca="1">IF(HRTable[[#This Row],[DueDate]]="", "", MAX(0, IF(HRTable[[#This Row],[CompletedDate]]="", TODAY()-HRTable[[#This Row],[DueDate]], HRTable[[#This Row],[CompletedDate]]-HRTable[[#This Row],[DueDate]])))</f>
        <v>1</v>
      </c>
    </row>
    <row r="90" spans="1:18">
      <c r="A90" t="s">
        <v>125</v>
      </c>
      <c r="B90" t="s">
        <v>68</v>
      </c>
      <c r="C90" t="s">
        <v>46</v>
      </c>
      <c r="D90" s="1">
        <v>45940</v>
      </c>
      <c r="E90" t="s">
        <v>47</v>
      </c>
      <c r="F90" t="s">
        <v>88</v>
      </c>
      <c r="G90" t="s">
        <v>126</v>
      </c>
      <c r="H90" s="1">
        <v>45953</v>
      </c>
      <c r="I90" s="1">
        <v>45954</v>
      </c>
      <c r="J90" t="s">
        <v>42</v>
      </c>
      <c r="L90" t="s">
        <v>91</v>
      </c>
      <c r="M90" t="s">
        <v>48</v>
      </c>
      <c r="O90" s="3"/>
      <c r="P90" s="3"/>
      <c r="Q90" s="4"/>
      <c r="R90" s="2">
        <f ca="1">IF(HRTable[[#This Row],[DueDate]]="", "", MAX(0, IF(HRTable[[#This Row],[CompletedDate]]="", TODAY()-HRTable[[#This Row],[DueDate]], HRTable[[#This Row],[CompletedDate]]-HRTable[[#This Row],[DueDate]])))</f>
        <v>1</v>
      </c>
    </row>
    <row r="91" spans="1:18">
      <c r="A91" t="s">
        <v>125</v>
      </c>
      <c r="B91" t="s">
        <v>68</v>
      </c>
      <c r="C91" t="s">
        <v>46</v>
      </c>
      <c r="D91" s="1">
        <v>45940</v>
      </c>
      <c r="E91" t="s">
        <v>47</v>
      </c>
      <c r="F91" t="s">
        <v>85</v>
      </c>
      <c r="G91" t="s">
        <v>64</v>
      </c>
      <c r="H91" s="1">
        <v>45955</v>
      </c>
      <c r="I91" s="1"/>
      <c r="J91" t="s">
        <v>24</v>
      </c>
      <c r="L91" t="s">
        <v>28</v>
      </c>
      <c r="M91" t="s">
        <v>29</v>
      </c>
      <c r="N91" t="s">
        <v>24</v>
      </c>
      <c r="O91" s="3"/>
      <c r="P91" s="3"/>
      <c r="Q91" s="4"/>
      <c r="R91" s="2">
        <f ca="1">IF(HRTable[[#This Row],[DueDate]]="", "", MAX(0, IF(HRTable[[#This Row],[CompletedDate]]="", TODAY()-HRTable[[#This Row],[DueDate]], HRTable[[#This Row],[CompletedDate]]-HRTable[[#This Row],[DueDate]])))</f>
        <v>85</v>
      </c>
    </row>
    <row r="92" spans="1:18">
      <c r="A92" t="s">
        <v>125</v>
      </c>
      <c r="B92" t="s">
        <v>68</v>
      </c>
      <c r="C92" t="s">
        <v>46</v>
      </c>
      <c r="D92" s="1">
        <v>45940</v>
      </c>
      <c r="E92" t="s">
        <v>47</v>
      </c>
      <c r="F92" t="s">
        <v>27</v>
      </c>
      <c r="G92" t="s">
        <v>4</v>
      </c>
      <c r="H92" s="1">
        <v>45952</v>
      </c>
      <c r="I92" s="1">
        <v>45946</v>
      </c>
      <c r="J92" t="s">
        <v>42</v>
      </c>
      <c r="L92" t="s">
        <v>28</v>
      </c>
      <c r="M92" t="s">
        <v>29</v>
      </c>
      <c r="N92" t="s">
        <v>71</v>
      </c>
      <c r="O92" s="3"/>
      <c r="P92" s="3"/>
      <c r="Q92" s="4"/>
      <c r="R92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93" spans="1:18">
      <c r="A93" t="s">
        <v>125</v>
      </c>
      <c r="B93" t="s">
        <v>68</v>
      </c>
      <c r="C93" t="s">
        <v>46</v>
      </c>
      <c r="D93" s="1">
        <v>45940</v>
      </c>
      <c r="E93" t="s">
        <v>47</v>
      </c>
      <c r="F93" t="s">
        <v>38</v>
      </c>
      <c r="G93" t="s">
        <v>39</v>
      </c>
      <c r="H93" s="1">
        <v>45950</v>
      </c>
      <c r="I93" s="1">
        <v>45943</v>
      </c>
      <c r="J93" t="s">
        <v>42</v>
      </c>
      <c r="L93" t="s">
        <v>28</v>
      </c>
      <c r="M93" t="s">
        <v>29</v>
      </c>
      <c r="O93" s="3"/>
      <c r="P93" s="3"/>
      <c r="Q93" s="4"/>
      <c r="R93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94" spans="1:18">
      <c r="A94" t="s">
        <v>127</v>
      </c>
      <c r="B94" t="s">
        <v>128</v>
      </c>
      <c r="C94" t="s">
        <v>35</v>
      </c>
      <c r="D94" s="1">
        <v>46004</v>
      </c>
      <c r="E94" t="s">
        <v>80</v>
      </c>
      <c r="F94" t="s">
        <v>41</v>
      </c>
      <c r="G94" t="s">
        <v>35</v>
      </c>
      <c r="H94" s="1">
        <v>46006</v>
      </c>
      <c r="I94" s="1"/>
      <c r="J94" t="s">
        <v>40</v>
      </c>
      <c r="L94" t="s">
        <v>28</v>
      </c>
      <c r="M94" t="s">
        <v>29</v>
      </c>
      <c r="N94" t="s">
        <v>40</v>
      </c>
      <c r="O94" s="3"/>
      <c r="P94" s="3"/>
      <c r="Q94" s="4"/>
      <c r="R94" s="2">
        <f ca="1">IF(HRTable[[#This Row],[DueDate]]="", "", MAX(0, IF(HRTable[[#This Row],[CompletedDate]]="", TODAY()-HRTable[[#This Row],[DueDate]], HRTable[[#This Row],[CompletedDate]]-HRTable[[#This Row],[DueDate]])))</f>
        <v>34</v>
      </c>
    </row>
    <row r="95" spans="1:18">
      <c r="A95" t="s">
        <v>127</v>
      </c>
      <c r="B95" t="s">
        <v>128</v>
      </c>
      <c r="C95" t="s">
        <v>35</v>
      </c>
      <c r="D95" s="1">
        <v>46004</v>
      </c>
      <c r="E95" t="s">
        <v>80</v>
      </c>
      <c r="F95" t="s">
        <v>52</v>
      </c>
      <c r="G95" t="s">
        <v>20</v>
      </c>
      <c r="H95" s="1">
        <v>46015</v>
      </c>
      <c r="I95" s="1"/>
      <c r="J95" t="s">
        <v>40</v>
      </c>
      <c r="L95" t="s">
        <v>28</v>
      </c>
      <c r="M95" t="s">
        <v>29</v>
      </c>
      <c r="N95" t="s">
        <v>40</v>
      </c>
      <c r="O95" s="3"/>
      <c r="P95" s="3"/>
      <c r="Q95" s="4"/>
      <c r="R95" s="2">
        <f ca="1">IF(HRTable[[#This Row],[DueDate]]="", "", MAX(0, IF(HRTable[[#This Row],[CompletedDate]]="", TODAY()-HRTable[[#This Row],[DueDate]], HRTable[[#This Row],[CompletedDate]]-HRTable[[#This Row],[DueDate]])))</f>
        <v>25</v>
      </c>
    </row>
    <row r="96" spans="1:18">
      <c r="A96" t="s">
        <v>127</v>
      </c>
      <c r="B96" t="s">
        <v>128</v>
      </c>
      <c r="C96" t="s">
        <v>35</v>
      </c>
      <c r="D96" s="1">
        <v>46004</v>
      </c>
      <c r="E96" t="s">
        <v>80</v>
      </c>
      <c r="F96" t="s">
        <v>70</v>
      </c>
      <c r="G96" t="s">
        <v>4</v>
      </c>
      <c r="H96" s="1">
        <v>46013</v>
      </c>
      <c r="I96" s="1">
        <v>46011</v>
      </c>
      <c r="J96" t="s">
        <v>42</v>
      </c>
      <c r="L96" t="s">
        <v>28</v>
      </c>
      <c r="M96" t="s">
        <v>29</v>
      </c>
      <c r="O96" s="3"/>
      <c r="P96" s="3"/>
      <c r="Q96" s="4"/>
      <c r="R96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97" spans="1:18">
      <c r="A97" t="s">
        <v>127</v>
      </c>
      <c r="B97" t="s">
        <v>128</v>
      </c>
      <c r="C97" t="s">
        <v>35</v>
      </c>
      <c r="D97" s="1">
        <v>46004</v>
      </c>
      <c r="E97" t="s">
        <v>80</v>
      </c>
      <c r="F97" t="s">
        <v>60</v>
      </c>
      <c r="G97" t="s">
        <v>23</v>
      </c>
      <c r="H97" s="1">
        <v>46013</v>
      </c>
      <c r="I97" s="1">
        <v>46005</v>
      </c>
      <c r="J97" t="s">
        <v>42</v>
      </c>
      <c r="L97" t="s">
        <v>61</v>
      </c>
      <c r="M97" t="s">
        <v>48</v>
      </c>
      <c r="O97" s="3"/>
      <c r="P97" s="3"/>
      <c r="Q97" s="4"/>
      <c r="R97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98" spans="1:18">
      <c r="A98" t="s">
        <v>129</v>
      </c>
      <c r="B98" t="s">
        <v>87</v>
      </c>
      <c r="C98" t="s">
        <v>55</v>
      </c>
      <c r="D98" s="1">
        <v>45750</v>
      </c>
      <c r="E98" t="s">
        <v>56</v>
      </c>
      <c r="F98" t="s">
        <v>60</v>
      </c>
      <c r="G98" t="s">
        <v>23</v>
      </c>
      <c r="H98" s="1">
        <v>45764</v>
      </c>
      <c r="I98" s="1">
        <v>45764</v>
      </c>
      <c r="J98" t="s">
        <v>42</v>
      </c>
      <c r="L98" t="s">
        <v>61</v>
      </c>
      <c r="M98" t="s">
        <v>48</v>
      </c>
      <c r="O98" s="3"/>
      <c r="P98" s="3"/>
      <c r="Q98" s="4"/>
      <c r="R98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99" spans="1:18">
      <c r="A99" t="s">
        <v>129</v>
      </c>
      <c r="B99" t="s">
        <v>87</v>
      </c>
      <c r="C99" t="s">
        <v>55</v>
      </c>
      <c r="D99" s="1">
        <v>45750</v>
      </c>
      <c r="E99" t="s">
        <v>56</v>
      </c>
      <c r="F99" t="s">
        <v>41</v>
      </c>
      <c r="G99" t="s">
        <v>35</v>
      </c>
      <c r="H99" s="1">
        <v>45759</v>
      </c>
      <c r="I99" s="1"/>
      <c r="J99" t="s">
        <v>24</v>
      </c>
      <c r="L99" t="s">
        <v>28</v>
      </c>
      <c r="M99" t="s">
        <v>29</v>
      </c>
      <c r="N99" t="s">
        <v>24</v>
      </c>
      <c r="O99" s="3"/>
      <c r="P99" s="3"/>
      <c r="Q99" s="4"/>
      <c r="R99" s="2">
        <f ca="1">IF(HRTable[[#This Row],[DueDate]]="", "", MAX(0, IF(HRTable[[#This Row],[CompletedDate]]="", TODAY()-HRTable[[#This Row],[DueDate]], HRTable[[#This Row],[CompletedDate]]-HRTable[[#This Row],[DueDate]])))</f>
        <v>281</v>
      </c>
    </row>
    <row r="100" spans="1:18">
      <c r="A100" t="s">
        <v>129</v>
      </c>
      <c r="B100" t="s">
        <v>87</v>
      </c>
      <c r="C100" t="s">
        <v>55</v>
      </c>
      <c r="D100" s="1">
        <v>45750</v>
      </c>
      <c r="E100" t="s">
        <v>56</v>
      </c>
      <c r="F100" t="s">
        <v>81</v>
      </c>
      <c r="G100" t="s">
        <v>23</v>
      </c>
      <c r="H100" s="1">
        <v>45767</v>
      </c>
      <c r="I100" s="1"/>
      <c r="J100" t="s">
        <v>42</v>
      </c>
      <c r="L100" t="s">
        <v>82</v>
      </c>
      <c r="M100" t="s">
        <v>48</v>
      </c>
      <c r="N100" t="s">
        <v>43</v>
      </c>
      <c r="O100" s="3"/>
      <c r="P100" s="3"/>
      <c r="Q100" s="4"/>
      <c r="R100" s="2">
        <f ca="1">IF(HRTable[[#This Row],[DueDate]]="", "", MAX(0, IF(HRTable[[#This Row],[CompletedDate]]="", TODAY()-HRTable[[#This Row],[DueDate]], HRTable[[#This Row],[CompletedDate]]-HRTable[[#This Row],[DueDate]])))</f>
        <v>273</v>
      </c>
    </row>
    <row r="101" spans="1:18">
      <c r="A101" t="s">
        <v>129</v>
      </c>
      <c r="B101" t="s">
        <v>87</v>
      </c>
      <c r="C101" t="s">
        <v>55</v>
      </c>
      <c r="D101" s="1">
        <v>45750</v>
      </c>
      <c r="E101" t="s">
        <v>56</v>
      </c>
      <c r="F101" t="s">
        <v>66</v>
      </c>
      <c r="G101" t="s">
        <v>20</v>
      </c>
      <c r="H101" s="1">
        <v>45764</v>
      </c>
      <c r="I101" s="1"/>
      <c r="J101" t="s">
        <v>40</v>
      </c>
      <c r="L101" t="s">
        <v>28</v>
      </c>
      <c r="M101" t="s">
        <v>29</v>
      </c>
      <c r="N101" t="s">
        <v>40</v>
      </c>
      <c r="O101" s="3"/>
      <c r="P101" s="3"/>
      <c r="Q101" s="4"/>
      <c r="R101" s="2">
        <f ca="1">IF(HRTable[[#This Row],[DueDate]]="", "", MAX(0, IF(HRTable[[#This Row],[CompletedDate]]="", TODAY()-HRTable[[#This Row],[DueDate]], HRTable[[#This Row],[CompletedDate]]-HRTable[[#This Row],[DueDate]])))</f>
        <v>276</v>
      </c>
    </row>
    <row r="102" spans="1:18">
      <c r="A102" t="s">
        <v>130</v>
      </c>
      <c r="B102" t="s">
        <v>87</v>
      </c>
      <c r="C102" t="s">
        <v>55</v>
      </c>
      <c r="D102" s="1">
        <v>45986</v>
      </c>
      <c r="E102" t="s">
        <v>56</v>
      </c>
      <c r="F102" t="s">
        <v>85</v>
      </c>
      <c r="G102" t="s">
        <v>64</v>
      </c>
      <c r="H102" s="1">
        <v>45999</v>
      </c>
      <c r="I102" s="1">
        <v>45990</v>
      </c>
      <c r="J102" t="s">
        <v>42</v>
      </c>
      <c r="L102" t="s">
        <v>28</v>
      </c>
      <c r="M102" t="s">
        <v>29</v>
      </c>
      <c r="O102" s="3"/>
      <c r="P102" s="3"/>
      <c r="Q102" s="4"/>
      <c r="R102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03" spans="1:18">
      <c r="A103" t="s">
        <v>130</v>
      </c>
      <c r="B103" t="s">
        <v>87</v>
      </c>
      <c r="C103" t="s">
        <v>55</v>
      </c>
      <c r="D103" s="1">
        <v>45986</v>
      </c>
      <c r="E103" t="s">
        <v>56</v>
      </c>
      <c r="F103" t="s">
        <v>60</v>
      </c>
      <c r="G103" t="s">
        <v>23</v>
      </c>
      <c r="H103" s="1">
        <v>45995</v>
      </c>
      <c r="I103" s="1">
        <v>45990</v>
      </c>
      <c r="J103" t="s">
        <v>42</v>
      </c>
      <c r="L103" t="s">
        <v>61</v>
      </c>
      <c r="M103" t="s">
        <v>48</v>
      </c>
      <c r="O103" s="3"/>
      <c r="P103" s="3"/>
      <c r="Q103" s="4"/>
      <c r="R103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04" spans="1:18">
      <c r="A104" t="s">
        <v>130</v>
      </c>
      <c r="B104" t="s">
        <v>87</v>
      </c>
      <c r="C104" t="s">
        <v>55</v>
      </c>
      <c r="D104" s="1">
        <v>45986</v>
      </c>
      <c r="E104" t="s">
        <v>56</v>
      </c>
      <c r="F104" t="s">
        <v>50</v>
      </c>
      <c r="G104" t="s">
        <v>23</v>
      </c>
      <c r="H104" s="1">
        <v>45997</v>
      </c>
      <c r="I104" s="1">
        <v>45999</v>
      </c>
      <c r="J104" t="s">
        <v>42</v>
      </c>
      <c r="L104" t="s">
        <v>51</v>
      </c>
      <c r="M104" t="s">
        <v>48</v>
      </c>
      <c r="O104" s="3"/>
      <c r="P104" s="3"/>
      <c r="Q104" s="4"/>
      <c r="R104" s="2">
        <f ca="1">IF(HRTable[[#This Row],[DueDate]]="", "", MAX(0, IF(HRTable[[#This Row],[CompletedDate]]="", TODAY()-HRTable[[#This Row],[DueDate]], HRTable[[#This Row],[CompletedDate]]-HRTable[[#This Row],[DueDate]])))</f>
        <v>2</v>
      </c>
    </row>
    <row r="105" spans="1:18">
      <c r="A105" t="s">
        <v>130</v>
      </c>
      <c r="B105" t="s">
        <v>87</v>
      </c>
      <c r="C105" t="s">
        <v>55</v>
      </c>
      <c r="D105" s="1">
        <v>45986</v>
      </c>
      <c r="E105" t="s">
        <v>56</v>
      </c>
      <c r="F105" t="s">
        <v>57</v>
      </c>
      <c r="G105" t="s">
        <v>35</v>
      </c>
      <c r="H105" s="1">
        <v>45991</v>
      </c>
      <c r="I105" s="1">
        <v>45987</v>
      </c>
      <c r="J105" t="s">
        <v>42</v>
      </c>
      <c r="L105" t="s">
        <v>28</v>
      </c>
      <c r="M105" t="s">
        <v>29</v>
      </c>
      <c r="N105" t="s">
        <v>58</v>
      </c>
      <c r="O105" s="3"/>
      <c r="P105" s="3"/>
      <c r="Q105" s="4"/>
      <c r="R105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06" spans="1:18">
      <c r="A106" t="s">
        <v>131</v>
      </c>
      <c r="B106" t="s">
        <v>101</v>
      </c>
      <c r="C106" t="s">
        <v>102</v>
      </c>
      <c r="D106" s="1">
        <v>45996</v>
      </c>
      <c r="E106" t="s">
        <v>103</v>
      </c>
      <c r="F106" t="s">
        <v>50</v>
      </c>
      <c r="G106" t="s">
        <v>23</v>
      </c>
      <c r="H106" s="1">
        <v>46004</v>
      </c>
      <c r="I106" s="1"/>
      <c r="J106" t="s">
        <v>31</v>
      </c>
      <c r="K106" t="s">
        <v>90</v>
      </c>
      <c r="L106" t="s">
        <v>51</v>
      </c>
      <c r="M106" t="s">
        <v>26</v>
      </c>
      <c r="N106" t="s">
        <v>92</v>
      </c>
      <c r="O106" s="3"/>
      <c r="P106" s="3"/>
      <c r="Q106" s="4"/>
      <c r="R106" s="2">
        <f ca="1">IF(HRTable[[#This Row],[DueDate]]="", "", MAX(0, IF(HRTable[[#This Row],[CompletedDate]]="", TODAY()-HRTable[[#This Row],[DueDate]], HRTable[[#This Row],[CompletedDate]]-HRTable[[#This Row],[DueDate]])))</f>
        <v>36</v>
      </c>
    </row>
    <row r="107" spans="1:18">
      <c r="A107" t="s">
        <v>131</v>
      </c>
      <c r="B107" t="s">
        <v>101</v>
      </c>
      <c r="C107" t="s">
        <v>102</v>
      </c>
      <c r="D107" s="1">
        <v>45996</v>
      </c>
      <c r="E107" t="s">
        <v>103</v>
      </c>
      <c r="F107" t="s">
        <v>59</v>
      </c>
      <c r="G107" t="s">
        <v>23</v>
      </c>
      <c r="H107" s="1">
        <v>46006</v>
      </c>
      <c r="I107" s="1">
        <v>46005</v>
      </c>
      <c r="J107" t="s">
        <v>42</v>
      </c>
      <c r="L107" t="s">
        <v>28</v>
      </c>
      <c r="M107" t="s">
        <v>29</v>
      </c>
      <c r="O107" s="3"/>
      <c r="P107" s="3"/>
      <c r="Q107" s="4"/>
      <c r="R107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08" spans="1:18">
      <c r="A108" t="s">
        <v>131</v>
      </c>
      <c r="B108" t="s">
        <v>101</v>
      </c>
      <c r="C108" t="s">
        <v>102</v>
      </c>
      <c r="D108" s="1">
        <v>45996</v>
      </c>
      <c r="E108" t="s">
        <v>103</v>
      </c>
      <c r="F108" t="s">
        <v>52</v>
      </c>
      <c r="G108" t="s">
        <v>20</v>
      </c>
      <c r="H108" s="1">
        <v>46001</v>
      </c>
      <c r="I108" s="1"/>
      <c r="J108" t="s">
        <v>31</v>
      </c>
      <c r="K108" t="s">
        <v>90</v>
      </c>
      <c r="L108" t="s">
        <v>28</v>
      </c>
      <c r="M108" t="s">
        <v>29</v>
      </c>
      <c r="N108" t="s">
        <v>92</v>
      </c>
      <c r="O108" s="3"/>
      <c r="P108" s="3"/>
      <c r="Q108" s="4"/>
      <c r="R108" s="2">
        <f ca="1">IF(HRTable[[#This Row],[DueDate]]="", "", MAX(0, IF(HRTable[[#This Row],[CompletedDate]]="", TODAY()-HRTable[[#This Row],[DueDate]], HRTable[[#This Row],[CompletedDate]]-HRTable[[#This Row],[DueDate]])))</f>
        <v>39</v>
      </c>
    </row>
    <row r="109" spans="1:18">
      <c r="A109" t="s">
        <v>131</v>
      </c>
      <c r="B109" t="s">
        <v>101</v>
      </c>
      <c r="C109" t="s">
        <v>102</v>
      </c>
      <c r="D109" s="1">
        <v>45996</v>
      </c>
      <c r="E109" t="s">
        <v>103</v>
      </c>
      <c r="F109" t="s">
        <v>66</v>
      </c>
      <c r="G109" t="s">
        <v>20</v>
      </c>
      <c r="H109" s="1">
        <v>46004</v>
      </c>
      <c r="I109" s="1">
        <v>46001</v>
      </c>
      <c r="J109" t="s">
        <v>42</v>
      </c>
      <c r="L109" t="s">
        <v>28</v>
      </c>
      <c r="M109" t="s">
        <v>29</v>
      </c>
      <c r="O109" s="3"/>
      <c r="P109" s="3"/>
      <c r="Q109" s="4"/>
      <c r="R109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10" spans="1:18">
      <c r="A110" t="s">
        <v>132</v>
      </c>
      <c r="B110" t="s">
        <v>133</v>
      </c>
      <c r="C110" t="s">
        <v>64</v>
      </c>
      <c r="D110" s="1">
        <v>45759</v>
      </c>
      <c r="E110" t="s">
        <v>65</v>
      </c>
      <c r="F110" t="s">
        <v>66</v>
      </c>
      <c r="G110" t="s">
        <v>20</v>
      </c>
      <c r="H110" s="1">
        <v>45771</v>
      </c>
      <c r="I110" s="1">
        <v>45770</v>
      </c>
      <c r="J110" t="s">
        <v>42</v>
      </c>
      <c r="L110" t="s">
        <v>28</v>
      </c>
      <c r="M110" t="s">
        <v>29</v>
      </c>
      <c r="O110" s="3"/>
      <c r="P110" s="3"/>
      <c r="Q110" s="4"/>
      <c r="R110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11" spans="1:18">
      <c r="A111" t="s">
        <v>132</v>
      </c>
      <c r="B111" t="s">
        <v>133</v>
      </c>
      <c r="C111" t="s">
        <v>64</v>
      </c>
      <c r="D111" s="1">
        <v>45759</v>
      </c>
      <c r="E111" t="s">
        <v>65</v>
      </c>
      <c r="F111" t="s">
        <v>88</v>
      </c>
      <c r="G111" t="s">
        <v>89</v>
      </c>
      <c r="H111" s="1">
        <v>45765</v>
      </c>
      <c r="I111" s="1">
        <v>45767</v>
      </c>
      <c r="J111" t="s">
        <v>42</v>
      </c>
      <c r="L111" t="s">
        <v>91</v>
      </c>
      <c r="M111" t="s">
        <v>48</v>
      </c>
      <c r="O111" s="3"/>
      <c r="P111" s="3"/>
      <c r="Q111" s="4"/>
      <c r="R111" s="2">
        <f ca="1">IF(HRTable[[#This Row],[DueDate]]="", "", MAX(0, IF(HRTable[[#This Row],[CompletedDate]]="", TODAY()-HRTable[[#This Row],[DueDate]], HRTable[[#This Row],[CompletedDate]]-HRTable[[#This Row],[DueDate]])))</f>
        <v>2</v>
      </c>
    </row>
    <row r="112" spans="1:18">
      <c r="A112" t="s">
        <v>132</v>
      </c>
      <c r="B112" t="s">
        <v>133</v>
      </c>
      <c r="C112" t="s">
        <v>64</v>
      </c>
      <c r="D112" s="1">
        <v>45759</v>
      </c>
      <c r="E112" t="s">
        <v>65</v>
      </c>
      <c r="F112" t="s">
        <v>50</v>
      </c>
      <c r="G112" t="s">
        <v>23</v>
      </c>
      <c r="H112" s="1">
        <v>45770</v>
      </c>
      <c r="I112" s="1"/>
      <c r="J112" t="s">
        <v>24</v>
      </c>
      <c r="L112" t="s">
        <v>51</v>
      </c>
      <c r="M112" t="s">
        <v>26</v>
      </c>
      <c r="N112" t="s">
        <v>24</v>
      </c>
      <c r="O112" s="3"/>
      <c r="P112" s="3"/>
      <c r="Q112" s="4"/>
      <c r="R112" s="2">
        <f ca="1">IF(HRTable[[#This Row],[DueDate]]="", "", MAX(0, IF(HRTable[[#This Row],[CompletedDate]]="", TODAY()-HRTable[[#This Row],[DueDate]], HRTable[[#This Row],[CompletedDate]]-HRTable[[#This Row],[DueDate]])))</f>
        <v>270</v>
      </c>
    </row>
    <row r="113" spans="1:18">
      <c r="A113" t="s">
        <v>132</v>
      </c>
      <c r="B113" t="s">
        <v>133</v>
      </c>
      <c r="C113" t="s">
        <v>64</v>
      </c>
      <c r="D113" s="1">
        <v>45759</v>
      </c>
      <c r="E113" t="s">
        <v>65</v>
      </c>
      <c r="F113" t="s">
        <v>38</v>
      </c>
      <c r="G113" t="s">
        <v>39</v>
      </c>
      <c r="H113" s="1">
        <v>45767</v>
      </c>
      <c r="I113" s="1">
        <v>45765</v>
      </c>
      <c r="J113" t="s">
        <v>42</v>
      </c>
      <c r="L113" t="s">
        <v>28</v>
      </c>
      <c r="M113" t="s">
        <v>29</v>
      </c>
      <c r="O113" s="3"/>
      <c r="P113" s="3"/>
      <c r="Q113" s="4"/>
      <c r="R113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14" spans="1:18">
      <c r="A114" t="s">
        <v>134</v>
      </c>
      <c r="B114" t="s">
        <v>68</v>
      </c>
      <c r="C114" t="s">
        <v>46</v>
      </c>
      <c r="D114" s="1">
        <v>45939</v>
      </c>
      <c r="E114" t="s">
        <v>135</v>
      </c>
      <c r="F114" t="s">
        <v>34</v>
      </c>
      <c r="G114" t="s">
        <v>35</v>
      </c>
      <c r="H114" s="1">
        <v>45943</v>
      </c>
      <c r="I114" s="1"/>
      <c r="J114" t="s">
        <v>40</v>
      </c>
      <c r="L114" t="s">
        <v>28</v>
      </c>
      <c r="M114" t="s">
        <v>29</v>
      </c>
      <c r="N114" t="s">
        <v>40</v>
      </c>
      <c r="O114" s="3"/>
      <c r="P114" s="3"/>
      <c r="Q114" s="4"/>
      <c r="R114" s="2">
        <f ca="1">IF(HRTable[[#This Row],[DueDate]]="", "", MAX(0, IF(HRTable[[#This Row],[CompletedDate]]="", TODAY()-HRTable[[#This Row],[DueDate]], HRTable[[#This Row],[CompletedDate]]-HRTable[[#This Row],[DueDate]])))</f>
        <v>97</v>
      </c>
    </row>
    <row r="115" spans="1:18">
      <c r="A115" t="s">
        <v>134</v>
      </c>
      <c r="B115" t="s">
        <v>68</v>
      </c>
      <c r="C115" t="s">
        <v>46</v>
      </c>
      <c r="D115" s="1">
        <v>45939</v>
      </c>
      <c r="E115" t="s">
        <v>135</v>
      </c>
      <c r="F115" t="s">
        <v>41</v>
      </c>
      <c r="G115" t="s">
        <v>35</v>
      </c>
      <c r="H115" s="1">
        <v>45945</v>
      </c>
      <c r="I115" s="1"/>
      <c r="J115" t="s">
        <v>42</v>
      </c>
      <c r="L115" t="s">
        <v>28</v>
      </c>
      <c r="M115" t="s">
        <v>29</v>
      </c>
      <c r="N115" t="s">
        <v>43</v>
      </c>
      <c r="O115" s="3"/>
      <c r="P115" s="3"/>
      <c r="Q115" s="4"/>
      <c r="R115" s="2">
        <f ca="1">IF(HRTable[[#This Row],[DueDate]]="", "", MAX(0, IF(HRTable[[#This Row],[CompletedDate]]="", TODAY()-HRTable[[#This Row],[DueDate]], HRTable[[#This Row],[CompletedDate]]-HRTable[[#This Row],[DueDate]])))</f>
        <v>95</v>
      </c>
    </row>
    <row r="116" spans="1:18">
      <c r="A116" t="s">
        <v>134</v>
      </c>
      <c r="B116" t="s">
        <v>68</v>
      </c>
      <c r="C116" t="s">
        <v>46</v>
      </c>
      <c r="D116" s="1">
        <v>45939</v>
      </c>
      <c r="E116" t="s">
        <v>135</v>
      </c>
      <c r="F116" t="s">
        <v>49</v>
      </c>
      <c r="G116" t="s">
        <v>39</v>
      </c>
      <c r="H116" s="1">
        <v>45946</v>
      </c>
      <c r="I116" s="1"/>
      <c r="J116" t="s">
        <v>40</v>
      </c>
      <c r="L116" t="s">
        <v>28</v>
      </c>
      <c r="M116" t="s">
        <v>29</v>
      </c>
      <c r="N116" t="s">
        <v>40</v>
      </c>
      <c r="O116" s="3"/>
      <c r="P116" s="3"/>
      <c r="Q116" s="4"/>
      <c r="R116" s="2">
        <f ca="1">IF(HRTable[[#This Row],[DueDate]]="", "", MAX(0, IF(HRTable[[#This Row],[CompletedDate]]="", TODAY()-HRTable[[#This Row],[DueDate]], HRTable[[#This Row],[CompletedDate]]-HRTable[[#This Row],[DueDate]])))</f>
        <v>94</v>
      </c>
    </row>
    <row r="117" spans="1:18">
      <c r="A117" t="s">
        <v>134</v>
      </c>
      <c r="B117" t="s">
        <v>68</v>
      </c>
      <c r="C117" t="s">
        <v>46</v>
      </c>
      <c r="D117" s="1">
        <v>45939</v>
      </c>
      <c r="E117" t="s">
        <v>135</v>
      </c>
      <c r="F117" t="s">
        <v>81</v>
      </c>
      <c r="G117" t="s">
        <v>23</v>
      </c>
      <c r="H117" s="1">
        <v>45954</v>
      </c>
      <c r="I117" s="1">
        <v>45950</v>
      </c>
      <c r="J117" t="s">
        <v>42</v>
      </c>
      <c r="L117" t="s">
        <v>82</v>
      </c>
      <c r="M117" t="s">
        <v>48</v>
      </c>
      <c r="O117" s="3"/>
      <c r="P117" s="3"/>
      <c r="Q117" s="4"/>
      <c r="R117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18" spans="1:18">
      <c r="A118" t="s">
        <v>136</v>
      </c>
      <c r="B118" t="s">
        <v>79</v>
      </c>
      <c r="C118" t="s">
        <v>35</v>
      </c>
      <c r="D118" s="1">
        <v>45795</v>
      </c>
      <c r="E118" t="s">
        <v>80</v>
      </c>
      <c r="F118" t="s">
        <v>85</v>
      </c>
      <c r="G118" t="s">
        <v>64</v>
      </c>
      <c r="H118" s="1">
        <v>45805</v>
      </c>
      <c r="I118" s="1">
        <v>45803</v>
      </c>
      <c r="J118" t="s">
        <v>42</v>
      </c>
      <c r="L118" t="s">
        <v>28</v>
      </c>
      <c r="M118" t="s">
        <v>29</v>
      </c>
      <c r="O118" s="3"/>
      <c r="P118" s="3"/>
      <c r="Q118" s="4"/>
      <c r="R118" s="2">
        <f ca="1">IF(HRTable[[#This Row],[DueDate]]="", "", MAX(0, IF(HRTable[[#This Row],[CompletedDate]]="", TODAY()-HRTable[[#This Row],[DueDate]], HRTable[[#This Row],[CompletedDate]]-HRTable[[#This Row],[DueDate]])))</f>
        <v>0</v>
      </c>
    </row>
    <row r="119" spans="1:18">
      <c r="A119" t="s">
        <v>136</v>
      </c>
      <c r="B119" t="s">
        <v>79</v>
      </c>
      <c r="C119" t="s">
        <v>35</v>
      </c>
      <c r="D119" s="1">
        <v>45795</v>
      </c>
      <c r="E119" t="s">
        <v>80</v>
      </c>
      <c r="F119" t="s">
        <v>38</v>
      </c>
      <c r="G119" t="s">
        <v>39</v>
      </c>
      <c r="H119" s="1">
        <v>45802</v>
      </c>
      <c r="I119" s="1">
        <v>45804</v>
      </c>
      <c r="J119" t="s">
        <v>42</v>
      </c>
      <c r="L119" t="s">
        <v>28</v>
      </c>
      <c r="M119" t="s">
        <v>29</v>
      </c>
      <c r="N119" t="s">
        <v>75</v>
      </c>
      <c r="O119" s="3"/>
      <c r="P119" s="3"/>
      <c r="Q119" s="4"/>
      <c r="R119" s="2">
        <f ca="1">IF(HRTable[[#This Row],[DueDate]]="", "", MAX(0, IF(HRTable[[#This Row],[CompletedDate]]="", TODAY()-HRTable[[#This Row],[DueDate]], HRTable[[#This Row],[CompletedDate]]-HRTable[[#This Row],[DueDate]])))</f>
        <v>2</v>
      </c>
    </row>
    <row r="120" spans="1:18">
      <c r="A120" t="s">
        <v>136</v>
      </c>
      <c r="B120" t="s">
        <v>79</v>
      </c>
      <c r="C120" t="s">
        <v>35</v>
      </c>
      <c r="D120" s="1">
        <v>45795</v>
      </c>
      <c r="E120" t="s">
        <v>80</v>
      </c>
      <c r="F120" t="s">
        <v>72</v>
      </c>
      <c r="G120" t="s">
        <v>23</v>
      </c>
      <c r="H120" s="1">
        <v>45801</v>
      </c>
      <c r="I120" s="1"/>
      <c r="J120" t="s">
        <v>40</v>
      </c>
      <c r="L120" t="s">
        <v>73</v>
      </c>
      <c r="M120" t="s">
        <v>26</v>
      </c>
      <c r="N120" t="s">
        <v>40</v>
      </c>
      <c r="O120" s="3"/>
      <c r="P120" s="3"/>
      <c r="Q120" s="4"/>
      <c r="R120" s="2">
        <f ca="1">IF(HRTable[[#This Row],[DueDate]]="", "", MAX(0, IF(HRTable[[#This Row],[CompletedDate]]="", TODAY()-HRTable[[#This Row],[DueDate]], HRTable[[#This Row],[CompletedDate]]-HRTable[[#This Row],[DueDate]])))</f>
        <v>239</v>
      </c>
    </row>
    <row r="121" spans="1:18">
      <c r="A121" t="s">
        <v>136</v>
      </c>
      <c r="B121" t="s">
        <v>79</v>
      </c>
      <c r="C121" t="s">
        <v>35</v>
      </c>
      <c r="D121" s="1">
        <v>45795</v>
      </c>
      <c r="E121" t="s">
        <v>80</v>
      </c>
      <c r="F121" t="s">
        <v>38</v>
      </c>
      <c r="G121" t="s">
        <v>39</v>
      </c>
      <c r="H121" s="1">
        <v>45802</v>
      </c>
      <c r="I121" s="1">
        <v>45801</v>
      </c>
      <c r="J121" t="s">
        <v>42</v>
      </c>
      <c r="L121" t="s">
        <v>28</v>
      </c>
      <c r="M121" t="s">
        <v>29</v>
      </c>
      <c r="O121" s="3"/>
      <c r="P121" s="3"/>
      <c r="Q121" s="4"/>
      <c r="R121" s="2">
        <f ca="1">IF(HRTable[[#This Row],[DueDate]]="", "", MAX(0, IF(HRTable[[#This Row],[CompletedDate]]="", TODAY()-HRTable[[#This Row],[DueDate]], HRTable[[#This Row],[CompletedDate]]-HRTable[[#This Row],[DueDate]])))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2026-01-18T00:22:08Z</dcterms:created>
  <dcterms:modified xsi:type="dcterms:W3CDTF">2026-01-18T18:55:16Z</dcterms:modified>
  <cp:category/>
  <cp:contentStatus/>
</cp:coreProperties>
</file>